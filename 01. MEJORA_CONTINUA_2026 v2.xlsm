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namedSheetViews/namedSheetView1.xml" ContentType="application/vnd.ms-excel.namedsheetviews+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ml.chartshap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82680DD9-3F13-7979-5B5F-3D2375947C00}"/>
  <workbookPr codeName="ThisWorkbook" defaultThemeVersion="166925"/>
  <mc:AlternateContent xmlns:mc="http://schemas.openxmlformats.org/markup-compatibility/2006">
    <mc:Choice Requires="x15">
      <x15ac:absPath xmlns:x15ac="http://schemas.microsoft.com/office/spreadsheetml/2010/11/ac" url="https://mirgor.sharepoint.com/sites/RODNEY/Shared Documents/RODNEY/18. GENERALES/MEJORA CONTINUA/"/>
    </mc:Choice>
  </mc:AlternateContent>
  <xr:revisionPtr revIDLastSave="3380" documentId="14_{B86B631A-117D-4F76-8075-AD76FDB87EB3}" xr6:coauthVersionLast="47" xr6:coauthVersionMax="47" xr10:uidLastSave="{CFAD4358-095D-47E6-AC19-A2825220943B}"/>
  <bookViews>
    <workbookView xWindow="-2880" yWindow="-16320" windowWidth="29040" windowHeight="15720" firstSheet="3" activeTab="3" xr2:uid="{311DE52F-CC0F-4375-9406-52E7113722EB}"/>
  </bookViews>
  <sheets>
    <sheet name="INSTRUCTIVO" sheetId="9" state="hidden" r:id="rId1"/>
    <sheet name="FUENTE" sheetId="6" state="hidden" r:id="rId2"/>
    <sheet name="111" sheetId="4" state="hidden" r:id="rId3"/>
    <sheet name="BASE" sheetId="1" r:id="rId4"/>
    <sheet name="ANEXO" sheetId="11" r:id="rId5"/>
    <sheet name="ZONAS" sheetId="12" r:id="rId6"/>
    <sheet name="CONTROL" sheetId="5" r:id="rId7"/>
    <sheet name="PIVOT" sheetId="13" r:id="rId8"/>
    <sheet name="SEGUIMIENTO" sheetId="8" state="hidden" r:id="rId9"/>
    <sheet name="Hoja1" sheetId="2" state="hidden" r:id="rId10"/>
    <sheet name="Chart Data" sheetId="14" state="hidden" r:id="rId11"/>
  </sheets>
  <externalReferences>
    <externalReference r:id="rId12"/>
  </externalReferences>
  <definedNames>
    <definedName name="_xlnm._FilterDatabase" localSheetId="4" hidden="1">ANEXO!$A$2:$A$110</definedName>
    <definedName name="_xlnm._FilterDatabase" localSheetId="3" hidden="1">BASE!$A$2:$A$110</definedName>
    <definedName name="_xlnm._FilterDatabase" localSheetId="8" hidden="1">SEGUIMIENTO!$B$47:$G$263</definedName>
    <definedName name="_xlnm.Print_Area" localSheetId="4">ANEXO!$A$2:$R$21</definedName>
    <definedName name="_xlnm.Print_Area" localSheetId="3">BASE!$A$2:$AC$19</definedName>
    <definedName name="Estado_Actividad">[1]SGC!#REF!</definedName>
    <definedName name="SegmentaciónDeDatos_MES">#N/A</definedName>
    <definedName name="SegmentaciónDeDatos_UNIDAD">#N/A</definedName>
  </definedNames>
  <calcPr calcId="191029"/>
  <pivotCaches>
    <pivotCache cacheId="235" r:id="rId13"/>
  </pivotCaches>
  <extLst>
    <ext xmlns:x14="http://schemas.microsoft.com/office/spreadsheetml/2009/9/main" uri="{BBE1A952-AA13-448e-AADC-164F8A28A991}">
      <x14:slicerCaches>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0" i="1" l="1"/>
  <c r="E38" i="1"/>
  <c r="D38" i="1"/>
  <c r="C38" i="1"/>
  <c r="B2" i="14"/>
  <c r="B3" i="14"/>
  <c r="B4" i="14"/>
  <c r="B5" i="14"/>
  <c r="B6" i="14"/>
  <c r="B7" i="14"/>
  <c r="C39" i="1"/>
  <c r="D39" i="1"/>
  <c r="E39" i="1"/>
  <c r="B2" i="13"/>
  <c r="D36" i="1"/>
  <c r="D35" i="1"/>
  <c r="D34" i="1"/>
  <c r="B42" i="1"/>
  <c r="B37" i="1"/>
  <c r="B65" i="1"/>
  <c r="B64" i="1"/>
  <c r="B63" i="1"/>
  <c r="B47" i="1"/>
  <c r="B75" i="1"/>
  <c r="B62" i="1"/>
  <c r="B72" i="1"/>
  <c r="B46" i="1"/>
  <c r="B74" i="1"/>
  <c r="B53" i="1"/>
  <c r="B61" i="1"/>
  <c r="B33" i="1"/>
  <c r="B60" i="1"/>
  <c r="B36" i="1"/>
  <c r="B59" i="1"/>
  <c r="B73" i="1"/>
  <c r="B58" i="1"/>
  <c r="B71" i="1"/>
  <c r="B70" i="1"/>
  <c r="B69" i="1"/>
  <c r="B57" i="1"/>
  <c r="D59" i="1" l="1"/>
  <c r="C75" i="1" l="1"/>
  <c r="D75" i="1"/>
  <c r="E75" i="1"/>
  <c r="E47" i="1"/>
  <c r="D47" i="1"/>
  <c r="C47" i="1"/>
  <c r="D74" i="1"/>
  <c r="D53" i="1"/>
  <c r="D56" i="1"/>
  <c r="D51" i="1"/>
  <c r="D54" i="1"/>
  <c r="D61" i="1"/>
  <c r="E110" i="11"/>
  <c r="D110" i="11"/>
  <c r="C110" i="11"/>
  <c r="E109" i="11"/>
  <c r="D109" i="11"/>
  <c r="C109" i="11"/>
  <c r="E108" i="11"/>
  <c r="D108" i="11"/>
  <c r="C108" i="11"/>
  <c r="E107" i="11"/>
  <c r="D107" i="11"/>
  <c r="C107" i="11"/>
  <c r="E106" i="11"/>
  <c r="D106" i="11"/>
  <c r="C106" i="11"/>
  <c r="E105" i="11"/>
  <c r="D105" i="11"/>
  <c r="C105" i="11"/>
  <c r="E104" i="11"/>
  <c r="D104" i="11"/>
  <c r="C104" i="11"/>
  <c r="E103" i="11"/>
  <c r="D103" i="11"/>
  <c r="C103" i="11"/>
  <c r="E102" i="11"/>
  <c r="D102" i="11"/>
  <c r="C102" i="11"/>
  <c r="E101" i="11"/>
  <c r="D101" i="11"/>
  <c r="C101" i="11"/>
  <c r="E100" i="11"/>
  <c r="D100" i="11"/>
  <c r="C100" i="11"/>
  <c r="E99" i="11"/>
  <c r="D99" i="11"/>
  <c r="C99" i="11"/>
  <c r="E98" i="11"/>
  <c r="D98" i="11"/>
  <c r="C98" i="11"/>
  <c r="E97" i="11"/>
  <c r="D97" i="11"/>
  <c r="C97" i="11"/>
  <c r="E96" i="11"/>
  <c r="D96" i="11"/>
  <c r="C96" i="11"/>
  <c r="E95" i="11"/>
  <c r="D95" i="11"/>
  <c r="C95" i="11"/>
  <c r="E94" i="11"/>
  <c r="D94" i="11"/>
  <c r="C94" i="11"/>
  <c r="E93" i="11"/>
  <c r="D93" i="11"/>
  <c r="C93" i="11"/>
  <c r="E92" i="11"/>
  <c r="D92" i="11"/>
  <c r="C92" i="11"/>
  <c r="E91" i="11"/>
  <c r="D91" i="11"/>
  <c r="C91" i="11"/>
  <c r="E90" i="11"/>
  <c r="D90" i="11"/>
  <c r="C90" i="11"/>
  <c r="E89" i="11"/>
  <c r="D89" i="11"/>
  <c r="C89" i="11"/>
  <c r="E88" i="11"/>
  <c r="D88" i="11"/>
  <c r="C88" i="11"/>
  <c r="E87" i="11"/>
  <c r="D87" i="11"/>
  <c r="C87" i="11"/>
  <c r="E86" i="11"/>
  <c r="D86" i="11"/>
  <c r="C86" i="11"/>
  <c r="E85" i="11"/>
  <c r="D85" i="11"/>
  <c r="C85" i="11"/>
  <c r="E84" i="11"/>
  <c r="D84" i="11"/>
  <c r="C84" i="11"/>
  <c r="E83" i="11"/>
  <c r="D83" i="11"/>
  <c r="C83" i="11"/>
  <c r="E82" i="11"/>
  <c r="D82" i="11"/>
  <c r="C82" i="11"/>
  <c r="E81" i="11"/>
  <c r="D81" i="11"/>
  <c r="C81" i="11"/>
  <c r="E80" i="11"/>
  <c r="D80" i="11"/>
  <c r="C80" i="11"/>
  <c r="E79" i="11"/>
  <c r="D79" i="11"/>
  <c r="C79" i="11"/>
  <c r="E78" i="11"/>
  <c r="D78" i="11"/>
  <c r="C78" i="11"/>
  <c r="E77" i="11"/>
  <c r="D77" i="11"/>
  <c r="C77" i="11"/>
  <c r="E76" i="11"/>
  <c r="D76" i="11"/>
  <c r="C76" i="11"/>
  <c r="E75" i="11"/>
  <c r="D75" i="11"/>
  <c r="C75" i="11"/>
  <c r="E74" i="11"/>
  <c r="D74" i="11"/>
  <c r="C74" i="11"/>
  <c r="E73" i="11"/>
  <c r="D73" i="11"/>
  <c r="C73" i="11"/>
  <c r="E72" i="11"/>
  <c r="D72" i="11"/>
  <c r="C72" i="11"/>
  <c r="E71" i="11"/>
  <c r="D71" i="11"/>
  <c r="C71" i="11"/>
  <c r="E70" i="11"/>
  <c r="D70" i="11"/>
  <c r="C70" i="11"/>
  <c r="E69" i="11"/>
  <c r="D69" i="11"/>
  <c r="C69" i="11"/>
  <c r="E68" i="11"/>
  <c r="D68" i="11"/>
  <c r="C68" i="11"/>
  <c r="E67" i="11"/>
  <c r="D67" i="11"/>
  <c r="C67" i="11"/>
  <c r="E66" i="11"/>
  <c r="D66" i="11"/>
  <c r="C66" i="11"/>
  <c r="E65" i="11"/>
  <c r="D65" i="11"/>
  <c r="C65" i="11"/>
  <c r="E64" i="11"/>
  <c r="D64" i="11"/>
  <c r="C64" i="11"/>
  <c r="E63" i="11"/>
  <c r="D63" i="11"/>
  <c r="C63" i="11"/>
  <c r="E62" i="11"/>
  <c r="D62" i="11"/>
  <c r="C62" i="11"/>
  <c r="E61" i="11"/>
  <c r="D61" i="11"/>
  <c r="C61" i="11"/>
  <c r="E60" i="11"/>
  <c r="D60" i="11"/>
  <c r="C60" i="11"/>
  <c r="E59" i="11"/>
  <c r="D59" i="11"/>
  <c r="C59" i="11"/>
  <c r="E58" i="11"/>
  <c r="D58" i="11"/>
  <c r="C58" i="11"/>
  <c r="E57" i="11"/>
  <c r="D57" i="11"/>
  <c r="C57" i="11"/>
  <c r="E56" i="11"/>
  <c r="D56" i="11"/>
  <c r="C56" i="11"/>
  <c r="E55" i="11"/>
  <c r="D55" i="11"/>
  <c r="C55" i="11"/>
  <c r="E54" i="11"/>
  <c r="D54" i="11"/>
  <c r="C54" i="11"/>
  <c r="E53" i="11"/>
  <c r="D53" i="11"/>
  <c r="C53" i="11"/>
  <c r="E52" i="11"/>
  <c r="C52" i="11"/>
  <c r="E51" i="11"/>
  <c r="C51" i="11"/>
  <c r="E50" i="11"/>
  <c r="D50" i="11"/>
  <c r="C50" i="11"/>
  <c r="E49" i="11"/>
  <c r="C49" i="11"/>
  <c r="E48" i="11"/>
  <c r="D48" i="11"/>
  <c r="C48" i="11"/>
  <c r="E47" i="11"/>
  <c r="D47" i="11"/>
  <c r="C47" i="11"/>
  <c r="E46" i="11"/>
  <c r="D46" i="11"/>
  <c r="C46" i="11"/>
  <c r="E45" i="11"/>
  <c r="D45" i="11"/>
  <c r="C45" i="11"/>
  <c r="E44" i="11"/>
  <c r="D44" i="11"/>
  <c r="C44" i="11"/>
  <c r="E43" i="11"/>
  <c r="D43" i="11"/>
  <c r="C43" i="11"/>
  <c r="E42" i="11"/>
  <c r="D42" i="11"/>
  <c r="C42" i="11"/>
  <c r="E41" i="11"/>
  <c r="D41" i="11"/>
  <c r="C41" i="11"/>
  <c r="E40" i="11"/>
  <c r="D40" i="11"/>
  <c r="C40" i="11"/>
  <c r="E39" i="11"/>
  <c r="D39" i="11"/>
  <c r="C39" i="11"/>
  <c r="E38" i="11"/>
  <c r="D38" i="11"/>
  <c r="C38" i="11"/>
  <c r="E37" i="11"/>
  <c r="D37" i="11"/>
  <c r="C37" i="11"/>
  <c r="E36" i="11"/>
  <c r="D36" i="11"/>
  <c r="C36" i="11"/>
  <c r="E35" i="11"/>
  <c r="D35" i="11"/>
  <c r="C35" i="11"/>
  <c r="E34" i="11"/>
  <c r="D34" i="11"/>
  <c r="C34" i="11"/>
  <c r="E33" i="11"/>
  <c r="D33" i="11"/>
  <c r="C33" i="11"/>
  <c r="E32" i="11"/>
  <c r="D32" i="11"/>
  <c r="C32" i="11"/>
  <c r="E31" i="11"/>
  <c r="D31" i="11"/>
  <c r="C31" i="11"/>
  <c r="E30" i="11"/>
  <c r="D30" i="11"/>
  <c r="C30" i="11"/>
  <c r="E29" i="11"/>
  <c r="D29" i="11"/>
  <c r="C29" i="11"/>
  <c r="E28" i="11"/>
  <c r="D28" i="11"/>
  <c r="C28" i="11"/>
  <c r="E27" i="11"/>
  <c r="D27" i="11"/>
  <c r="C27" i="11"/>
  <c r="E26" i="11"/>
  <c r="D26" i="11"/>
  <c r="C26" i="11"/>
  <c r="E25" i="11"/>
  <c r="D25" i="11"/>
  <c r="C25" i="11"/>
  <c r="E24" i="11"/>
  <c r="D24" i="11"/>
  <c r="C24" i="11"/>
  <c r="E23" i="11"/>
  <c r="D23" i="11"/>
  <c r="C23" i="11"/>
  <c r="E22" i="11"/>
  <c r="D22" i="11"/>
  <c r="C22" i="11"/>
  <c r="E21" i="11"/>
  <c r="C21" i="11"/>
  <c r="E20" i="11"/>
  <c r="D20" i="11"/>
  <c r="C20" i="11"/>
  <c r="E19" i="11"/>
  <c r="C19" i="11"/>
  <c r="E18" i="11"/>
  <c r="D18" i="11"/>
  <c r="C18" i="11"/>
  <c r="E17" i="11"/>
  <c r="D17" i="11"/>
  <c r="C17" i="11"/>
  <c r="E16" i="11"/>
  <c r="D16" i="11"/>
  <c r="C16" i="11"/>
  <c r="E15" i="11"/>
  <c r="D15" i="11"/>
  <c r="C15" i="11"/>
  <c r="E14" i="11"/>
  <c r="C14" i="11"/>
  <c r="E13" i="11"/>
  <c r="C13" i="11"/>
  <c r="E12" i="11"/>
  <c r="D12" i="11"/>
  <c r="C12" i="11"/>
  <c r="E11" i="11"/>
  <c r="C11" i="11"/>
  <c r="E10" i="11"/>
  <c r="D10" i="11"/>
  <c r="C10" i="11"/>
  <c r="E9" i="11"/>
  <c r="D9" i="11"/>
  <c r="C9" i="11"/>
  <c r="E8" i="11"/>
  <c r="C8" i="11"/>
  <c r="E7" i="11"/>
  <c r="D7" i="11"/>
  <c r="C7" i="11"/>
  <c r="E6" i="11"/>
  <c r="D6" i="11"/>
  <c r="C6" i="11"/>
  <c r="E5" i="11"/>
  <c r="D5" i="11"/>
  <c r="C5" i="11"/>
  <c r="E4" i="11"/>
  <c r="D4" i="11"/>
  <c r="C4" i="11"/>
  <c r="E3" i="11"/>
  <c r="D3" i="11"/>
  <c r="C3" i="11"/>
  <c r="O2" i="11"/>
  <c r="C63" i="1"/>
  <c r="D63" i="1"/>
  <c r="E63" i="1"/>
  <c r="C64" i="1"/>
  <c r="C65" i="1"/>
  <c r="D64" i="1"/>
  <c r="D65" i="1"/>
  <c r="E64" i="1"/>
  <c r="E65" i="1"/>
  <c r="C37" i="1"/>
  <c r="C41" i="1"/>
  <c r="D37" i="1"/>
  <c r="D41" i="1"/>
  <c r="E37" i="1"/>
  <c r="E41" i="1"/>
  <c r="C42" i="1"/>
  <c r="C45" i="1"/>
  <c r="D42" i="1"/>
  <c r="D45" i="1"/>
  <c r="E42" i="1"/>
  <c r="E45" i="1"/>
  <c r="C66" i="1"/>
  <c r="C67" i="1"/>
  <c r="D66" i="1"/>
  <c r="D67" i="1"/>
  <c r="E66" i="1"/>
  <c r="E67" i="1"/>
  <c r="C68" i="1"/>
  <c r="C49" i="1"/>
  <c r="D68" i="1"/>
  <c r="D49" i="1"/>
  <c r="E68" i="1"/>
  <c r="E49" i="1"/>
  <c r="C50" i="1"/>
  <c r="C48" i="1"/>
  <c r="D50" i="1"/>
  <c r="D48" i="1"/>
  <c r="E50" i="1"/>
  <c r="E48" i="1"/>
  <c r="C52" i="1"/>
  <c r="C43" i="1"/>
  <c r="D52" i="1"/>
  <c r="D43" i="1"/>
  <c r="E52" i="1"/>
  <c r="E43" i="1"/>
  <c r="C44" i="1"/>
  <c r="C76" i="1"/>
  <c r="D44" i="1"/>
  <c r="D76" i="1"/>
  <c r="E44" i="1"/>
  <c r="E76" i="1"/>
  <c r="C77" i="1"/>
  <c r="C78" i="1"/>
  <c r="D77" i="1"/>
  <c r="D78" i="1"/>
  <c r="E77" i="1"/>
  <c r="E78" i="1"/>
  <c r="C79" i="1"/>
  <c r="C80" i="1"/>
  <c r="D79" i="1"/>
  <c r="D80" i="1"/>
  <c r="E79" i="1"/>
  <c r="E80" i="1"/>
  <c r="C81" i="1"/>
  <c r="C82" i="1"/>
  <c r="D81" i="1"/>
  <c r="D82" i="1"/>
  <c r="E81" i="1"/>
  <c r="E82" i="1"/>
  <c r="C83" i="1"/>
  <c r="C84" i="1"/>
  <c r="D83" i="1"/>
  <c r="D84" i="1"/>
  <c r="E83" i="1"/>
  <c r="E84" i="1"/>
  <c r="C85" i="1"/>
  <c r="C86" i="1"/>
  <c r="D85" i="1"/>
  <c r="D86" i="1"/>
  <c r="E85" i="1"/>
  <c r="E86" i="1"/>
  <c r="C87" i="1"/>
  <c r="C88" i="1"/>
  <c r="D87" i="1"/>
  <c r="D88" i="1"/>
  <c r="E87" i="1"/>
  <c r="E88" i="1"/>
  <c r="C89" i="1"/>
  <c r="C90" i="1"/>
  <c r="D89" i="1"/>
  <c r="D90" i="1"/>
  <c r="E89" i="1"/>
  <c r="E90" i="1"/>
  <c r="C91" i="1"/>
  <c r="C92" i="1"/>
  <c r="D91" i="1"/>
  <c r="D92" i="1"/>
  <c r="E91" i="1"/>
  <c r="E92" i="1"/>
  <c r="C93" i="1"/>
  <c r="C94" i="1"/>
  <c r="D93" i="1"/>
  <c r="D94" i="1"/>
  <c r="E93" i="1"/>
  <c r="E94" i="1"/>
  <c r="C95" i="1"/>
  <c r="C96" i="1"/>
  <c r="D95" i="1"/>
  <c r="D96" i="1"/>
  <c r="E95" i="1"/>
  <c r="E96" i="1"/>
  <c r="C97" i="1"/>
  <c r="C98" i="1"/>
  <c r="D97" i="1"/>
  <c r="D98" i="1"/>
  <c r="E97" i="1"/>
  <c r="E98" i="1"/>
  <c r="C99" i="1"/>
  <c r="C100" i="1"/>
  <c r="D99" i="1"/>
  <c r="D100" i="1"/>
  <c r="E99" i="1"/>
  <c r="E100" i="1"/>
  <c r="C101" i="1"/>
  <c r="C102" i="1"/>
  <c r="D101" i="1"/>
  <c r="D102" i="1"/>
  <c r="E101" i="1"/>
  <c r="E102" i="1"/>
  <c r="C103" i="1"/>
  <c r="C104" i="1"/>
  <c r="D103" i="1"/>
  <c r="D104" i="1"/>
  <c r="E103" i="1"/>
  <c r="E104" i="1"/>
  <c r="C105" i="1"/>
  <c r="C106" i="1"/>
  <c r="D105" i="1"/>
  <c r="D106" i="1"/>
  <c r="E105" i="1"/>
  <c r="E106" i="1"/>
  <c r="C110" i="1"/>
  <c r="D110" i="1"/>
  <c r="E110" i="1"/>
  <c r="C109" i="1"/>
  <c r="D109" i="1"/>
  <c r="E109" i="1"/>
  <c r="C108" i="1"/>
  <c r="D108" i="1"/>
  <c r="E108" i="1"/>
  <c r="C107" i="1"/>
  <c r="D107" i="1"/>
  <c r="E107" i="1"/>
  <c r="C62" i="1"/>
  <c r="D62" i="1"/>
  <c r="E62" i="1"/>
  <c r="D57" i="1"/>
  <c r="D69" i="1"/>
  <c r="D70" i="1"/>
  <c r="D27" i="1"/>
  <c r="D71" i="1"/>
  <c r="D30" i="1"/>
  <c r="D58" i="1"/>
  <c r="D73" i="1"/>
  <c r="D60" i="1"/>
  <c r="D31" i="1"/>
  <c r="D33" i="1"/>
  <c r="D29" i="1"/>
  <c r="D3" i="1"/>
  <c r="D12" i="1"/>
  <c r="D5" i="1"/>
  <c r="D7" i="1"/>
  <c r="D24" i="1"/>
  <c r="D4" i="1"/>
  <c r="D8" i="1"/>
  <c r="D21" i="1"/>
  <c r="D23" i="1"/>
  <c r="D14" i="1"/>
  <c r="D6" i="1"/>
  <c r="D18" i="1"/>
  <c r="D22" i="1"/>
  <c r="D13" i="1"/>
  <c r="D9" i="1"/>
  <c r="D20" i="1"/>
  <c r="D19" i="1"/>
  <c r="D11" i="1"/>
  <c r="D10" i="1"/>
  <c r="D16" i="1"/>
  <c r="D15" i="1"/>
  <c r="D17" i="1"/>
  <c r="D26" i="1"/>
  <c r="D25" i="1"/>
  <c r="D32" i="1"/>
  <c r="D28" i="1"/>
  <c r="D55" i="1"/>
  <c r="D46" i="1"/>
  <c r="D72" i="1"/>
  <c r="C72" i="1"/>
  <c r="E72" i="1"/>
  <c r="C46" i="1"/>
  <c r="E46" i="1"/>
  <c r="C74" i="1"/>
  <c r="E74" i="1"/>
  <c r="C53" i="1"/>
  <c r="E53" i="1"/>
  <c r="C56" i="1"/>
  <c r="E56" i="1"/>
  <c r="C51" i="1"/>
  <c r="E51" i="1"/>
  <c r="C55" i="1"/>
  <c r="E55" i="1"/>
  <c r="C54" i="1"/>
  <c r="E54" i="1"/>
  <c r="C34" i="1"/>
  <c r="E34" i="1"/>
  <c r="C61" i="1"/>
  <c r="E61" i="1"/>
  <c r="C29" i="1"/>
  <c r="E29" i="1"/>
  <c r="E4" i="1"/>
  <c r="E5" i="1"/>
  <c r="E6" i="1"/>
  <c r="E8" i="1"/>
  <c r="E7" i="1"/>
  <c r="E9" i="1"/>
  <c r="E10" i="1"/>
  <c r="E11" i="1"/>
  <c r="E13" i="1"/>
  <c r="E14" i="1"/>
  <c r="E15" i="1"/>
  <c r="E16" i="1"/>
  <c r="E17" i="1"/>
  <c r="E18" i="1"/>
  <c r="E32" i="1"/>
  <c r="E33" i="1"/>
  <c r="E19" i="1"/>
  <c r="E20" i="1"/>
  <c r="E21" i="1"/>
  <c r="E22" i="1"/>
  <c r="E23" i="1"/>
  <c r="E24" i="1"/>
  <c r="E57" i="1"/>
  <c r="E12" i="1"/>
  <c r="E69" i="1"/>
  <c r="E70" i="1"/>
  <c r="E71" i="1"/>
  <c r="E27" i="1"/>
  <c r="E35" i="1"/>
  <c r="E30" i="1"/>
  <c r="E58" i="1"/>
  <c r="E40" i="1"/>
  <c r="E73" i="1"/>
  <c r="E59" i="1"/>
  <c r="E26" i="1"/>
  <c r="E36" i="1"/>
  <c r="E60" i="1"/>
  <c r="E25" i="1"/>
  <c r="E31" i="1"/>
  <c r="E28" i="1"/>
  <c r="C25" i="1" l="1"/>
  <c r="C57" i="1"/>
  <c r="C12" i="1"/>
  <c r="C69" i="1"/>
  <c r="C70" i="1"/>
  <c r="C27" i="1"/>
  <c r="C35" i="1"/>
  <c r="C30" i="1"/>
  <c r="C58" i="1"/>
  <c r="C40" i="1"/>
  <c r="C73" i="1"/>
  <c r="C59" i="1"/>
  <c r="C26" i="1"/>
  <c r="C36" i="1"/>
  <c r="C60" i="1"/>
  <c r="C71" i="1"/>
  <c r="C31" i="1"/>
  <c r="C28" i="1"/>
  <c r="C8" i="1" l="1"/>
  <c r="C7" i="1"/>
  <c r="C24" i="1"/>
  <c r="C4" i="1"/>
  <c r="C5" i="1"/>
  <c r="C21" i="1"/>
  <c r="C23" i="1"/>
  <c r="C14" i="1"/>
  <c r="C6" i="1"/>
  <c r="C22" i="1"/>
  <c r="C13" i="1"/>
  <c r="C9" i="1"/>
  <c r="C20" i="1"/>
  <c r="C19" i="1"/>
  <c r="C11" i="1"/>
  <c r="C10" i="1"/>
  <c r="C16" i="1"/>
  <c r="C15" i="1"/>
  <c r="C17" i="1"/>
  <c r="C18" i="1"/>
  <c r="C33" i="1"/>
  <c r="C32" i="1"/>
  <c r="R5" i="5" l="1"/>
  <c r="Q5" i="5"/>
  <c r="S5" i="5" s="1"/>
  <c r="U5" i="5" l="1"/>
  <c r="C3" i="1" l="1"/>
  <c r="B278" i="8"/>
  <c r="B277" i="8"/>
  <c r="B276" i="8"/>
  <c r="B275" i="8"/>
  <c r="B273" i="8"/>
  <c r="B272" i="8"/>
  <c r="B271" i="8"/>
  <c r="B270" i="8"/>
  <c r="B269" i="8"/>
  <c r="B274" i="8"/>
  <c r="B268" i="8"/>
  <c r="B267" i="8"/>
  <c r="K43" i="8" l="1" a="1"/>
  <c r="J43" i="8" a="1"/>
  <c r="I43" i="8" a="1"/>
  <c r="H43" i="8" a="1"/>
  <c r="K42" i="8" a="1"/>
  <c r="K40" i="8" a="1"/>
  <c r="I38" i="8" a="1"/>
  <c r="J42" i="8" a="1"/>
  <c r="J40" i="8" a="1"/>
  <c r="J38" i="8" a="1"/>
  <c r="H38" i="8" a="1"/>
  <c r="I42" i="8" a="1"/>
  <c r="I40" i="8" a="1"/>
  <c r="H42" i="8" a="1"/>
  <c r="H40" i="8" a="1"/>
  <c r="K41" i="8" a="1"/>
  <c r="K39" i="8" a="1"/>
  <c r="K38" i="8" a="1"/>
  <c r="J41" i="8" a="1"/>
  <c r="J39" i="8" a="1"/>
  <c r="I41" i="8" a="1"/>
  <c r="I39" i="8" a="1"/>
  <c r="H41" i="8" a="1"/>
  <c r="H39" i="8" a="1"/>
  <c r="A145" i="8"/>
  <c r="A146" i="8" s="1"/>
  <c r="A147" i="8" s="1"/>
  <c r="A148" i="8" s="1"/>
  <c r="A149" i="8" s="1"/>
  <c r="A150" i="8" s="1"/>
  <c r="J283" i="8"/>
  <c r="A151" i="8" l="1"/>
  <c r="E3" i="1"/>
  <c r="D56" i="8"/>
  <c r="F263" i="8"/>
  <c r="E263" i="8"/>
  <c r="F262" i="8"/>
  <c r="E262" i="8"/>
  <c r="F261" i="8"/>
  <c r="E261" i="8"/>
  <c r="F260" i="8"/>
  <c r="E260" i="8"/>
  <c r="F259" i="8"/>
  <c r="E259" i="8"/>
  <c r="F258" i="8"/>
  <c r="E258" i="8"/>
  <c r="F257" i="8"/>
  <c r="E257" i="8"/>
  <c r="F256" i="8"/>
  <c r="E256" i="8"/>
  <c r="F255" i="8"/>
  <c r="E255" i="8"/>
  <c r="F254" i="8"/>
  <c r="E254" i="8"/>
  <c r="F253" i="8"/>
  <c r="E253" i="8"/>
  <c r="F252" i="8"/>
  <c r="E252" i="8"/>
  <c r="F251" i="8"/>
  <c r="E251" i="8"/>
  <c r="F250" i="8"/>
  <c r="E250" i="8"/>
  <c r="F249" i="8"/>
  <c r="E249" i="8"/>
  <c r="F248" i="8"/>
  <c r="E248" i="8"/>
  <c r="F247" i="8"/>
  <c r="E247" i="8"/>
  <c r="F246" i="8"/>
  <c r="E246" i="8"/>
  <c r="F245" i="8"/>
  <c r="E245" i="8"/>
  <c r="F244" i="8"/>
  <c r="E244" i="8"/>
  <c r="F243" i="8"/>
  <c r="E243" i="8"/>
  <c r="F242" i="8"/>
  <c r="E242" i="8"/>
  <c r="F241" i="8"/>
  <c r="E241" i="8"/>
  <c r="F240" i="8"/>
  <c r="E240" i="8"/>
  <c r="F239" i="8"/>
  <c r="E239" i="8"/>
  <c r="F238" i="8"/>
  <c r="E238" i="8"/>
  <c r="F237" i="8"/>
  <c r="E237" i="8"/>
  <c r="F236" i="8"/>
  <c r="E236" i="8"/>
  <c r="F235" i="8"/>
  <c r="E235" i="8"/>
  <c r="F234" i="8"/>
  <c r="E234" i="8"/>
  <c r="F233" i="8"/>
  <c r="E233" i="8"/>
  <c r="D232" i="8"/>
  <c r="C232" i="8"/>
  <c r="D231" i="8"/>
  <c r="C231" i="8"/>
  <c r="D230" i="8"/>
  <c r="C230" i="8"/>
  <c r="D229" i="8"/>
  <c r="C229" i="8"/>
  <c r="D228" i="8"/>
  <c r="C228" i="8"/>
  <c r="D227" i="8"/>
  <c r="C227" i="8"/>
  <c r="D226" i="8"/>
  <c r="C226" i="8"/>
  <c r="D225" i="8"/>
  <c r="C225" i="8"/>
  <c r="D224" i="8"/>
  <c r="C224" i="8"/>
  <c r="D223" i="8"/>
  <c r="C223" i="8"/>
  <c r="D222" i="8"/>
  <c r="C222" i="8"/>
  <c r="D221" i="8"/>
  <c r="C221" i="8"/>
  <c r="D220" i="8"/>
  <c r="C220" i="8"/>
  <c r="D219" i="8"/>
  <c r="C219" i="8"/>
  <c r="D218" i="8"/>
  <c r="C218" i="8"/>
  <c r="D217" i="8"/>
  <c r="C217" i="8"/>
  <c r="D216" i="8"/>
  <c r="C216" i="8"/>
  <c r="D215" i="8"/>
  <c r="C215" i="8"/>
  <c r="D214" i="8"/>
  <c r="C214" i="8"/>
  <c r="D213" i="8"/>
  <c r="C213" i="8"/>
  <c r="D212" i="8"/>
  <c r="C212" i="8"/>
  <c r="D211" i="8"/>
  <c r="C211" i="8"/>
  <c r="D210" i="8"/>
  <c r="C210" i="8"/>
  <c r="D209" i="8"/>
  <c r="C209" i="8"/>
  <c r="D208" i="8"/>
  <c r="C208" i="8"/>
  <c r="D207" i="8"/>
  <c r="C207" i="8"/>
  <c r="D206" i="8"/>
  <c r="C206" i="8"/>
  <c r="D205" i="8"/>
  <c r="C205" i="8"/>
  <c r="D204" i="8"/>
  <c r="C204" i="8"/>
  <c r="D203" i="8"/>
  <c r="C203" i="8"/>
  <c r="D202" i="8"/>
  <c r="C202" i="8"/>
  <c r="D201" i="8"/>
  <c r="C201" i="8"/>
  <c r="D200" i="8"/>
  <c r="C200" i="8"/>
  <c r="D199" i="8"/>
  <c r="C199" i="8"/>
  <c r="D198" i="8"/>
  <c r="C198" i="8"/>
  <c r="D197" i="8"/>
  <c r="C197" i="8"/>
  <c r="D196" i="8"/>
  <c r="C196" i="8"/>
  <c r="D195" i="8"/>
  <c r="C195" i="8"/>
  <c r="D194" i="8"/>
  <c r="C194" i="8"/>
  <c r="D193" i="8"/>
  <c r="C193" i="8"/>
  <c r="D192" i="8"/>
  <c r="C192" i="8"/>
  <c r="D191" i="8"/>
  <c r="C191" i="8"/>
  <c r="D190" i="8"/>
  <c r="C190" i="8"/>
  <c r="D189" i="8"/>
  <c r="C189" i="8"/>
  <c r="D188" i="8"/>
  <c r="C188" i="8"/>
  <c r="D187" i="8"/>
  <c r="C187" i="8"/>
  <c r="D186" i="8"/>
  <c r="C186" i="8"/>
  <c r="D185" i="8"/>
  <c r="C185" i="8"/>
  <c r="D184" i="8"/>
  <c r="C184" i="8"/>
  <c r="D183" i="8"/>
  <c r="C183" i="8"/>
  <c r="D182" i="8"/>
  <c r="C182" i="8"/>
  <c r="D181" i="8"/>
  <c r="C181" i="8"/>
  <c r="G179" i="8"/>
  <c r="D179" i="8"/>
  <c r="C179" i="8"/>
  <c r="G178" i="8"/>
  <c r="D178" i="8"/>
  <c r="C178" i="8"/>
  <c r="G177" i="8"/>
  <c r="D177" i="8"/>
  <c r="C177" i="8"/>
  <c r="G176" i="8"/>
  <c r="D176" i="8"/>
  <c r="C176" i="8"/>
  <c r="G175" i="8"/>
  <c r="D175" i="8"/>
  <c r="C175" i="8"/>
  <c r="G174" i="8"/>
  <c r="D174" i="8"/>
  <c r="C174" i="8"/>
  <c r="G173" i="8"/>
  <c r="D173" i="8"/>
  <c r="C173" i="8"/>
  <c r="G172" i="8"/>
  <c r="D172" i="8"/>
  <c r="C172" i="8"/>
  <c r="G171" i="8"/>
  <c r="D171" i="8"/>
  <c r="C171" i="8"/>
  <c r="G170" i="8"/>
  <c r="D170" i="8"/>
  <c r="C170" i="8"/>
  <c r="G169" i="8"/>
  <c r="D169" i="8"/>
  <c r="C169" i="8"/>
  <c r="G168" i="8"/>
  <c r="D168" i="8"/>
  <c r="C168" i="8"/>
  <c r="G167" i="8"/>
  <c r="D167" i="8"/>
  <c r="C167" i="8"/>
  <c r="G166" i="8"/>
  <c r="D166" i="8"/>
  <c r="C166" i="8"/>
  <c r="G165" i="8"/>
  <c r="D165" i="8"/>
  <c r="C165" i="8"/>
  <c r="G164" i="8"/>
  <c r="D164" i="8"/>
  <c r="C164" i="8"/>
  <c r="G163" i="8"/>
  <c r="D163" i="8"/>
  <c r="C163" i="8"/>
  <c r="G162" i="8"/>
  <c r="D162" i="8"/>
  <c r="C162" i="8"/>
  <c r="G161" i="8"/>
  <c r="D161" i="8"/>
  <c r="C161" i="8"/>
  <c r="G160" i="8"/>
  <c r="D160" i="8"/>
  <c r="C160" i="8"/>
  <c r="G159" i="8"/>
  <c r="D159" i="8"/>
  <c r="C159" i="8"/>
  <c r="G158" i="8"/>
  <c r="D158" i="8"/>
  <c r="C158" i="8"/>
  <c r="G157" i="8"/>
  <c r="D157" i="8"/>
  <c r="C157" i="8"/>
  <c r="G156" i="8"/>
  <c r="D156" i="8"/>
  <c r="C156" i="8"/>
  <c r="B279" i="8" s="1"/>
  <c r="G155" i="8"/>
  <c r="D155" i="8"/>
  <c r="G154" i="8"/>
  <c r="D154" i="8"/>
  <c r="G153" i="8"/>
  <c r="D153" i="8"/>
  <c r="G152" i="8"/>
  <c r="D152" i="8"/>
  <c r="G151" i="8"/>
  <c r="D151" i="8"/>
  <c r="G150" i="8"/>
  <c r="D150" i="8"/>
  <c r="G149" i="8"/>
  <c r="D149" i="8"/>
  <c r="G148" i="8"/>
  <c r="D148" i="8"/>
  <c r="G147" i="8"/>
  <c r="D147" i="8"/>
  <c r="G146" i="8"/>
  <c r="D146" i="8"/>
  <c r="G145" i="8"/>
  <c r="D145" i="8"/>
  <c r="G144" i="8"/>
  <c r="D144" i="8"/>
  <c r="G143" i="8"/>
  <c r="D143" i="8"/>
  <c r="C143" i="8"/>
  <c r="G142" i="8"/>
  <c r="D142" i="8"/>
  <c r="C142" i="8"/>
  <c r="G141" i="8"/>
  <c r="D141" i="8"/>
  <c r="C141" i="8"/>
  <c r="G140" i="8"/>
  <c r="D140" i="8"/>
  <c r="C140" i="8"/>
  <c r="G139" i="8"/>
  <c r="D139" i="8"/>
  <c r="C139" i="8"/>
  <c r="G138" i="8"/>
  <c r="D138" i="8"/>
  <c r="C138" i="8"/>
  <c r="G137" i="8"/>
  <c r="D137" i="8"/>
  <c r="C137" i="8"/>
  <c r="G136" i="8"/>
  <c r="D136" i="8"/>
  <c r="C136" i="8"/>
  <c r="G135" i="8"/>
  <c r="D135" i="8"/>
  <c r="C135" i="8"/>
  <c r="G134" i="8"/>
  <c r="D134" i="8"/>
  <c r="C134" i="8"/>
  <c r="G133" i="8"/>
  <c r="D133" i="8"/>
  <c r="C133" i="8"/>
  <c r="G132" i="8"/>
  <c r="D132" i="8"/>
  <c r="C132" i="8"/>
  <c r="G131" i="8"/>
  <c r="D131" i="8"/>
  <c r="C131" i="8"/>
  <c r="G130" i="8"/>
  <c r="D130" i="8"/>
  <c r="C130" i="8"/>
  <c r="G129" i="8"/>
  <c r="D129" i="8"/>
  <c r="C129" i="8"/>
  <c r="G128" i="8"/>
  <c r="D128" i="8"/>
  <c r="C128" i="8"/>
  <c r="G127" i="8"/>
  <c r="D127" i="8"/>
  <c r="C127" i="8"/>
  <c r="G126" i="8"/>
  <c r="D126" i="8"/>
  <c r="C126" i="8"/>
  <c r="G125" i="8"/>
  <c r="D125" i="8"/>
  <c r="C125" i="8"/>
  <c r="G124" i="8"/>
  <c r="D124" i="8"/>
  <c r="C124" i="8"/>
  <c r="G123" i="8"/>
  <c r="D123" i="8"/>
  <c r="C123" i="8"/>
  <c r="G122" i="8"/>
  <c r="D122" i="8"/>
  <c r="C122" i="8"/>
  <c r="G121" i="8"/>
  <c r="D121" i="8"/>
  <c r="C121" i="8"/>
  <c r="G120" i="8"/>
  <c r="D120" i="8"/>
  <c r="C120" i="8"/>
  <c r="G119" i="8"/>
  <c r="D119" i="8"/>
  <c r="C119" i="8"/>
  <c r="G118" i="8"/>
  <c r="D118" i="8"/>
  <c r="C118" i="8"/>
  <c r="G117" i="8"/>
  <c r="D117" i="8"/>
  <c r="C117" i="8"/>
  <c r="G116" i="8"/>
  <c r="D116" i="8"/>
  <c r="C116" i="8"/>
  <c r="G115" i="8"/>
  <c r="D115" i="8"/>
  <c r="C115" i="8"/>
  <c r="G114" i="8"/>
  <c r="D114" i="8"/>
  <c r="C114" i="8"/>
  <c r="G113" i="8"/>
  <c r="D113" i="8"/>
  <c r="C113" i="8"/>
  <c r="G112" i="8"/>
  <c r="D112" i="8"/>
  <c r="C112" i="8"/>
  <c r="G111" i="8"/>
  <c r="D111" i="8"/>
  <c r="C111" i="8"/>
  <c r="G110" i="8"/>
  <c r="D110" i="8"/>
  <c r="C110" i="8"/>
  <c r="G109" i="8"/>
  <c r="D109" i="8"/>
  <c r="C109" i="8"/>
  <c r="G108" i="8"/>
  <c r="D108" i="8"/>
  <c r="C108" i="8"/>
  <c r="G107" i="8"/>
  <c r="D107" i="8"/>
  <c r="C107" i="8"/>
  <c r="G106" i="8"/>
  <c r="D106" i="8"/>
  <c r="C106" i="8"/>
  <c r="G105" i="8"/>
  <c r="D105" i="8"/>
  <c r="C105" i="8"/>
  <c r="G104" i="8"/>
  <c r="D104" i="8"/>
  <c r="C104" i="8"/>
  <c r="G103" i="8"/>
  <c r="D103" i="8"/>
  <c r="C103" i="8"/>
  <c r="G102" i="8"/>
  <c r="D102" i="8"/>
  <c r="C102" i="8"/>
  <c r="G101" i="8"/>
  <c r="D101" i="8"/>
  <c r="C101" i="8"/>
  <c r="G100" i="8"/>
  <c r="D100" i="8"/>
  <c r="C100" i="8"/>
  <c r="G99" i="8"/>
  <c r="D99" i="8"/>
  <c r="C99" i="8"/>
  <c r="G98" i="8"/>
  <c r="D98" i="8"/>
  <c r="C98" i="8"/>
  <c r="G97" i="8"/>
  <c r="D97" i="8"/>
  <c r="C97" i="8"/>
  <c r="G96" i="8"/>
  <c r="D96" i="8"/>
  <c r="C96" i="8"/>
  <c r="G95" i="8"/>
  <c r="D95" i="8"/>
  <c r="C95" i="8"/>
  <c r="G94" i="8"/>
  <c r="D94" i="8"/>
  <c r="C94" i="8"/>
  <c r="G93" i="8"/>
  <c r="D93" i="8"/>
  <c r="C93" i="8"/>
  <c r="G92" i="8"/>
  <c r="D92" i="8"/>
  <c r="C92" i="8"/>
  <c r="G91" i="8"/>
  <c r="D91" i="8"/>
  <c r="C91" i="8"/>
  <c r="G90" i="8"/>
  <c r="D90" i="8"/>
  <c r="C90" i="8"/>
  <c r="G89" i="8"/>
  <c r="D89" i="8"/>
  <c r="C89" i="8"/>
  <c r="G88" i="8"/>
  <c r="D88" i="8"/>
  <c r="C88" i="8"/>
  <c r="G87" i="8"/>
  <c r="D87" i="8"/>
  <c r="C87" i="8"/>
  <c r="G86" i="8"/>
  <c r="D86" i="8"/>
  <c r="C86" i="8"/>
  <c r="G85" i="8"/>
  <c r="D85" i="8"/>
  <c r="C85" i="8"/>
  <c r="G84" i="8"/>
  <c r="D84" i="8"/>
  <c r="C84" i="8"/>
  <c r="G83" i="8"/>
  <c r="D83" i="8"/>
  <c r="C83" i="8"/>
  <c r="G82" i="8"/>
  <c r="D82" i="8"/>
  <c r="C82" i="8"/>
  <c r="G81" i="8"/>
  <c r="D81" i="8"/>
  <c r="C81" i="8"/>
  <c r="G80" i="8"/>
  <c r="D80" i="8"/>
  <c r="C80" i="8"/>
  <c r="G79" i="8"/>
  <c r="D79" i="8"/>
  <c r="C79" i="8"/>
  <c r="G78" i="8"/>
  <c r="F78" i="8"/>
  <c r="E78" i="8"/>
  <c r="G77" i="8"/>
  <c r="F77" i="8"/>
  <c r="E77" i="8"/>
  <c r="G76" i="8"/>
  <c r="F76" i="8"/>
  <c r="E76" i="8"/>
  <c r="G75" i="8"/>
  <c r="F75" i="8"/>
  <c r="E75" i="8"/>
  <c r="G74" i="8"/>
  <c r="F74" i="8"/>
  <c r="E74" i="8"/>
  <c r="G73" i="8"/>
  <c r="F73" i="8"/>
  <c r="E73" i="8"/>
  <c r="G72" i="8"/>
  <c r="F72" i="8"/>
  <c r="E72" i="8"/>
  <c r="G71" i="8"/>
  <c r="F71" i="8"/>
  <c r="E71" i="8"/>
  <c r="G70" i="8"/>
  <c r="F70" i="8"/>
  <c r="E70" i="8"/>
  <c r="G69" i="8"/>
  <c r="F69" i="8"/>
  <c r="E69" i="8"/>
  <c r="G68" i="8"/>
  <c r="F68" i="8"/>
  <c r="E68" i="8"/>
  <c r="G67" i="8"/>
  <c r="F67" i="8"/>
  <c r="E67" i="8"/>
  <c r="G66" i="8"/>
  <c r="F66" i="8"/>
  <c r="E66" i="8"/>
  <c r="G65" i="8"/>
  <c r="D65" i="8"/>
  <c r="F65" i="8" s="1"/>
  <c r="G64" i="8"/>
  <c r="D64" i="8"/>
  <c r="E64" i="8" s="1"/>
  <c r="G63" i="8"/>
  <c r="D63" i="8"/>
  <c r="F63" i="8" s="1"/>
  <c r="G62" i="8"/>
  <c r="D62" i="8"/>
  <c r="F62" i="8" s="1"/>
  <c r="G61" i="8"/>
  <c r="D61" i="8"/>
  <c r="F61" i="8" s="1"/>
  <c r="G60" i="8"/>
  <c r="D60" i="8"/>
  <c r="E60" i="8" s="1"/>
  <c r="G58" i="8"/>
  <c r="D58" i="8"/>
  <c r="C58" i="8"/>
  <c r="G57" i="8"/>
  <c r="D57" i="8"/>
  <c r="C57" i="8"/>
  <c r="G56" i="8"/>
  <c r="C56" i="8"/>
  <c r="G55" i="8"/>
  <c r="D55" i="8"/>
  <c r="C55" i="8"/>
  <c r="G54" i="8"/>
  <c r="D54" i="8"/>
  <c r="C54" i="8"/>
  <c r="G53" i="8"/>
  <c r="D53" i="8"/>
  <c r="C53" i="8"/>
  <c r="G52" i="8"/>
  <c r="D52" i="8"/>
  <c r="C52" i="8"/>
  <c r="G51" i="8"/>
  <c r="D51" i="8"/>
  <c r="C51" i="8"/>
  <c r="G50" i="8"/>
  <c r="F50" i="8"/>
  <c r="E50" i="8"/>
  <c r="G49" i="8"/>
  <c r="F49" i="8"/>
  <c r="E49" i="8"/>
  <c r="G48" i="8"/>
  <c r="F48" i="8"/>
  <c r="E48" i="8"/>
  <c r="T5" i="5" l="1"/>
  <c r="L39" i="8"/>
  <c r="L40" i="8"/>
  <c r="L41" i="8"/>
  <c r="L42" i="8"/>
  <c r="L38" i="8"/>
  <c r="E145" i="8" s="1"/>
  <c r="A152" i="8"/>
  <c r="F151" i="8"/>
  <c r="E83" i="8"/>
  <c r="E91" i="8"/>
  <c r="E99" i="8"/>
  <c r="F189" i="8"/>
  <c r="F193" i="8"/>
  <c r="F197" i="8"/>
  <c r="F201" i="8"/>
  <c r="F205" i="8"/>
  <c r="F209" i="8"/>
  <c r="F213" i="8"/>
  <c r="F217" i="8"/>
  <c r="E103" i="8"/>
  <c r="F111" i="8"/>
  <c r="F127" i="8"/>
  <c r="E97" i="8"/>
  <c r="F221" i="8"/>
  <c r="F225" i="8"/>
  <c r="F229" i="8"/>
  <c r="F175" i="8"/>
  <c r="F178" i="8"/>
  <c r="E163" i="8"/>
  <c r="E107" i="8"/>
  <c r="E84" i="8"/>
  <c r="F115" i="8"/>
  <c r="E87" i="8"/>
  <c r="E172" i="8"/>
  <c r="F166" i="8"/>
  <c r="E174" i="8"/>
  <c r="F79" i="8"/>
  <c r="F87" i="8"/>
  <c r="E95" i="8"/>
  <c r="E100" i="8"/>
  <c r="E116" i="8"/>
  <c r="F124" i="8"/>
  <c r="E159" i="8"/>
  <c r="F164" i="8"/>
  <c r="F98" i="8"/>
  <c r="E106" i="8"/>
  <c r="F114" i="8"/>
  <c r="F167" i="8"/>
  <c r="E127" i="8"/>
  <c r="F54" i="8"/>
  <c r="F60" i="8"/>
  <c r="F86" i="8"/>
  <c r="F158" i="8"/>
  <c r="F191" i="8"/>
  <c r="F195" i="8"/>
  <c r="F199" i="8"/>
  <c r="F203" i="8"/>
  <c r="F207" i="8"/>
  <c r="F211" i="8"/>
  <c r="F215" i="8"/>
  <c r="F219" i="8"/>
  <c r="F223" i="8"/>
  <c r="F227" i="8"/>
  <c r="F231" i="8"/>
  <c r="F57" i="8"/>
  <c r="E113" i="8"/>
  <c r="E121" i="8"/>
  <c r="F90" i="8"/>
  <c r="F103" i="8"/>
  <c r="F108" i="8"/>
  <c r="F118" i="8"/>
  <c r="F123" i="8"/>
  <c r="F159" i="8"/>
  <c r="E162" i="8"/>
  <c r="E167" i="8"/>
  <c r="F174" i="8"/>
  <c r="E177" i="8"/>
  <c r="F83" i="8"/>
  <c r="F139" i="8"/>
  <c r="F147" i="8"/>
  <c r="E119" i="8"/>
  <c r="E129" i="8"/>
  <c r="F134" i="8"/>
  <c r="F142" i="8"/>
  <c r="F150" i="8"/>
  <c r="F170" i="8"/>
  <c r="E178" i="8"/>
  <c r="F131" i="8"/>
  <c r="F53" i="8"/>
  <c r="E58" i="8"/>
  <c r="E65" i="8"/>
  <c r="F102" i="8"/>
  <c r="E122" i="8"/>
  <c r="F132" i="8"/>
  <c r="E51" i="8"/>
  <c r="F82" i="8"/>
  <c r="E92" i="8"/>
  <c r="F110" i="8"/>
  <c r="E115" i="8"/>
  <c r="E130" i="8"/>
  <c r="F138" i="8"/>
  <c r="F143" i="8"/>
  <c r="E166" i="8"/>
  <c r="E179" i="8"/>
  <c r="F162" i="8"/>
  <c r="E175" i="8"/>
  <c r="F177" i="8"/>
  <c r="E79" i="8"/>
  <c r="F99" i="8"/>
  <c r="E108" i="8"/>
  <c r="E158" i="8"/>
  <c r="E54" i="8"/>
  <c r="E62" i="8"/>
  <c r="E89" i="8"/>
  <c r="F91" i="8"/>
  <c r="F95" i="8"/>
  <c r="E98" i="8"/>
  <c r="F100" i="8"/>
  <c r="E156" i="8"/>
  <c r="E169" i="8"/>
  <c r="F171" i="8"/>
  <c r="E123" i="8"/>
  <c r="E132" i="8"/>
  <c r="F64" i="8"/>
  <c r="F119" i="8"/>
  <c r="E57" i="8"/>
  <c r="E111" i="8"/>
  <c r="F122" i="8"/>
  <c r="E124" i="8"/>
  <c r="F51" i="8"/>
  <c r="F106" i="8"/>
  <c r="F94" i="8"/>
  <c r="E105" i="8"/>
  <c r="F107" i="8"/>
  <c r="E114" i="8"/>
  <c r="F116" i="8"/>
  <c r="E131" i="8"/>
  <c r="E161" i="8"/>
  <c r="F163" i="8"/>
  <c r="F172" i="8"/>
  <c r="E181" i="8"/>
  <c r="E185" i="8"/>
  <c r="E189" i="8"/>
  <c r="E193" i="8"/>
  <c r="E197" i="8"/>
  <c r="E201" i="8"/>
  <c r="E205" i="8"/>
  <c r="E209" i="8"/>
  <c r="E213" i="8"/>
  <c r="E217" i="8"/>
  <c r="E221" i="8"/>
  <c r="E225" i="8"/>
  <c r="E229" i="8"/>
  <c r="E81" i="8"/>
  <c r="E90" i="8"/>
  <c r="F92" i="8"/>
  <c r="E137" i="8"/>
  <c r="E170" i="8"/>
  <c r="E56" i="8"/>
  <c r="F58" i="8"/>
  <c r="E82" i="8"/>
  <c r="F84" i="8"/>
  <c r="F126" i="8"/>
  <c r="F130" i="8"/>
  <c r="E135" i="8"/>
  <c r="E138" i="8"/>
  <c r="E140" i="8"/>
  <c r="E148" i="8"/>
  <c r="E164" i="8"/>
  <c r="F179" i="8"/>
  <c r="E183" i="8"/>
  <c r="E187" i="8"/>
  <c r="E191" i="8"/>
  <c r="E195" i="8"/>
  <c r="E199" i="8"/>
  <c r="E203" i="8"/>
  <c r="E207" i="8"/>
  <c r="E211" i="8"/>
  <c r="E215" i="8"/>
  <c r="E219" i="8"/>
  <c r="E223" i="8"/>
  <c r="E227" i="8"/>
  <c r="E231" i="8"/>
  <c r="E150" i="8"/>
  <c r="E134" i="8"/>
  <c r="E143" i="8"/>
  <c r="E142" i="8"/>
  <c r="F135" i="8"/>
  <c r="E136" i="8"/>
  <c r="F136" i="8"/>
  <c r="F157" i="8"/>
  <c r="E157" i="8"/>
  <c r="F184" i="8"/>
  <c r="E184" i="8"/>
  <c r="F188" i="8"/>
  <c r="E188" i="8"/>
  <c r="F192" i="8"/>
  <c r="E192" i="8"/>
  <c r="F196" i="8"/>
  <c r="E196" i="8"/>
  <c r="F200" i="8"/>
  <c r="E200" i="8"/>
  <c r="F204" i="8"/>
  <c r="E204" i="8"/>
  <c r="F208" i="8"/>
  <c r="E208" i="8"/>
  <c r="F212" i="8"/>
  <c r="E212" i="8"/>
  <c r="F216" i="8"/>
  <c r="E216" i="8"/>
  <c r="F220" i="8"/>
  <c r="E220" i="8"/>
  <c r="F224" i="8"/>
  <c r="E224" i="8"/>
  <c r="F232" i="8"/>
  <c r="E232" i="8"/>
  <c r="E53" i="8"/>
  <c r="E55" i="8"/>
  <c r="F55" i="8"/>
  <c r="F80" i="8"/>
  <c r="E80" i="8"/>
  <c r="E86" i="8"/>
  <c r="F88" i="8"/>
  <c r="E88" i="8"/>
  <c r="E94" i="8"/>
  <c r="F96" i="8"/>
  <c r="E96" i="8"/>
  <c r="E102" i="8"/>
  <c r="E104" i="8"/>
  <c r="F104" i="8"/>
  <c r="E110" i="8"/>
  <c r="E112" i="8"/>
  <c r="F112" i="8"/>
  <c r="E118" i="8"/>
  <c r="F120" i="8"/>
  <c r="E120" i="8"/>
  <c r="E126" i="8"/>
  <c r="E128" i="8"/>
  <c r="F128" i="8"/>
  <c r="F149" i="8"/>
  <c r="E149" i="8"/>
  <c r="F169" i="8"/>
  <c r="E171" i="8"/>
  <c r="E228" i="8"/>
  <c r="F228" i="8"/>
  <c r="F141" i="8"/>
  <c r="E141" i="8"/>
  <c r="F161" i="8"/>
  <c r="F181" i="8"/>
  <c r="F185" i="8"/>
  <c r="E222" i="8"/>
  <c r="F222" i="8"/>
  <c r="F226" i="8"/>
  <c r="E226" i="8"/>
  <c r="F230" i="8"/>
  <c r="E230" i="8"/>
  <c r="F176" i="8"/>
  <c r="E176" i="8"/>
  <c r="F52" i="8"/>
  <c r="E52" i="8"/>
  <c r="F85" i="8"/>
  <c r="E85" i="8"/>
  <c r="F93" i="8"/>
  <c r="E93" i="8"/>
  <c r="F101" i="8"/>
  <c r="E101" i="8"/>
  <c r="F109" i="8"/>
  <c r="E109" i="8"/>
  <c r="F117" i="8"/>
  <c r="E117" i="8"/>
  <c r="E147" i="8"/>
  <c r="E168" i="8"/>
  <c r="F168" i="8"/>
  <c r="E182" i="8"/>
  <c r="F182" i="8"/>
  <c r="E186" i="8"/>
  <c r="F186" i="8"/>
  <c r="E190" i="8"/>
  <c r="F190" i="8"/>
  <c r="E194" i="8"/>
  <c r="F194" i="8"/>
  <c r="E198" i="8"/>
  <c r="F198" i="8"/>
  <c r="E202" i="8"/>
  <c r="F202" i="8"/>
  <c r="E206" i="8"/>
  <c r="F206" i="8"/>
  <c r="E210" i="8"/>
  <c r="F210" i="8"/>
  <c r="E214" i="8"/>
  <c r="F214" i="8"/>
  <c r="E218" i="8"/>
  <c r="F218" i="8"/>
  <c r="E61" i="8"/>
  <c r="F137" i="8"/>
  <c r="E139" i="8"/>
  <c r="F156" i="8"/>
  <c r="F160" i="8"/>
  <c r="E160" i="8"/>
  <c r="E63" i="8"/>
  <c r="F125" i="8"/>
  <c r="E125" i="8"/>
  <c r="F56" i="8"/>
  <c r="F81" i="8"/>
  <c r="F89" i="8"/>
  <c r="F97" i="8"/>
  <c r="F105" i="8"/>
  <c r="F113" i="8"/>
  <c r="F121" i="8"/>
  <c r="F129" i="8"/>
  <c r="F148" i="8"/>
  <c r="F173" i="8"/>
  <c r="E173" i="8"/>
  <c r="F183" i="8"/>
  <c r="F187" i="8"/>
  <c r="F133" i="8"/>
  <c r="E133" i="8"/>
  <c r="F140" i="8"/>
  <c r="F165" i="8"/>
  <c r="E165" i="8"/>
  <c r="E151" i="8" l="1"/>
  <c r="F145" i="8"/>
  <c r="A153" i="8"/>
  <c r="A154" i="8" l="1"/>
  <c r="F152" i="8"/>
  <c r="E152" i="8"/>
  <c r="E144" i="8"/>
  <c r="F144" i="8"/>
  <c r="E146" i="8"/>
  <c r="F146" i="8"/>
  <c r="M3" i="4"/>
  <c r="L3" i="4"/>
  <c r="K3" i="4"/>
  <c r="J3" i="4"/>
  <c r="A155" i="8" l="1"/>
  <c r="F153" i="8"/>
  <c r="E153" i="8"/>
  <c r="T3" i="4"/>
  <c r="Z2" i="1"/>
  <c r="E155" i="8" l="1"/>
  <c r="F155" i="8"/>
  <c r="E154" i="8"/>
  <c r="F154" i="8"/>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
    <bk>
      <extLst>
        <ext uri="{3e2802c4-a4d2-4d8b-9148-e3be6c30e623}">
          <xlrd:rvb i="0"/>
        </ext>
      </extLst>
    </bk>
  </future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<sst xmlns="http://schemas.openxmlformats.org/spreadsheetml/2006/main" count="1040" uniqueCount="442">
  <si>
    <t>Melany Bolivar</t>
  </si>
  <si>
    <t>Carolina Lepez</t>
  </si>
  <si>
    <t>Pablo Amat</t>
  </si>
  <si>
    <t>Luis Reyes</t>
  </si>
  <si>
    <t>Leonel Segovia</t>
  </si>
  <si>
    <t>Camila Basualdo</t>
  </si>
  <si>
    <t>Matias Pavon</t>
  </si>
  <si>
    <t>Gabriel Duran</t>
  </si>
  <si>
    <t>Alejandro Lobos</t>
  </si>
  <si>
    <t>Wiston Marquez</t>
  </si>
  <si>
    <t>Carlos Lopez</t>
  </si>
  <si>
    <t>Matias Lousame</t>
  </si>
  <si>
    <t>Elis Gil</t>
  </si>
  <si>
    <t>Ramiro Di Bernardo</t>
  </si>
  <si>
    <t>Tomas Quinteros</t>
  </si>
  <si>
    <t>Lucas Rodriguez</t>
  </si>
  <si>
    <t>Gonzalo Gomez</t>
  </si>
  <si>
    <t>Rodrigo Pavon</t>
  </si>
  <si>
    <t>Javier Galas</t>
  </si>
  <si>
    <t>Silvana Beltrame</t>
  </si>
  <si>
    <t>Melanie Barrios</t>
  </si>
  <si>
    <t>Rocío Brizuela</t>
  </si>
  <si>
    <t>Silvana Jacinto</t>
  </si>
  <si>
    <t>Magali Arteaga</t>
  </si>
  <si>
    <t>*</t>
  </si>
  <si>
    <t>FOLLOW UP MEJORAS</t>
  </si>
  <si>
    <t>N°</t>
  </si>
  <si>
    <t>FECHA RELEVO</t>
  </si>
  <si>
    <t>AÑO</t>
  </si>
  <si>
    <t>MES</t>
  </si>
  <si>
    <t>DIA</t>
  </si>
  <si>
    <t>DESCRIPCIÓN DE MEJORAS</t>
  </si>
  <si>
    <t>ACCIÓN</t>
  </si>
  <si>
    <t>IMPLEMENTADO</t>
  </si>
  <si>
    <t>SITIO</t>
  </si>
  <si>
    <t>UNIDAD</t>
  </si>
  <si>
    <t>PUESTO</t>
  </si>
  <si>
    <t>ZONA</t>
  </si>
  <si>
    <t>KAIZEN</t>
  </si>
  <si>
    <t>TEAMS</t>
  </si>
  <si>
    <t>ID IDOC</t>
  </si>
  <si>
    <t>STATUS IDOC</t>
  </si>
  <si>
    <t xml:space="preserve">EQUIPO </t>
  </si>
  <si>
    <t>RESPONSABLE
CARGA IDOC</t>
  </si>
  <si>
    <t>STATUS</t>
  </si>
  <si>
    <t>FECHA DE CIERRE</t>
  </si>
  <si>
    <t>IMPACTO 
ECONÓMICO</t>
  </si>
  <si>
    <t>AHORRO ECONÓMICO</t>
  </si>
  <si>
    <t>OBJ</t>
  </si>
  <si>
    <t>UPDATE</t>
  </si>
  <si>
    <t>Espacio de trabajo de puesto de prensado ineficiente con oportunidad de mejora</t>
  </si>
  <si>
    <t>Mejora de layout de puesto de prensado</t>
  </si>
  <si>
    <t>Rodney</t>
  </si>
  <si>
    <t>Laboratorio</t>
  </si>
  <si>
    <t>Prensado</t>
  </si>
  <si>
    <t>NO APLICA</t>
  </si>
  <si>
    <t>IMPLEMENTADA</t>
  </si>
  <si>
    <t>NO</t>
  </si>
  <si>
    <t>Falta asignar puntos de carga en estación de carga de celulares</t>
  </si>
  <si>
    <t>Readecuación de estación de carga de celulares</t>
  </si>
  <si>
    <t>Reparación</t>
  </si>
  <si>
    <t>https://mirgor.sharepoint.com/sites/RODNEY/Shared%20Documents/RODNEY/GENERALES/MEJORA%20CONTINUA/6.%20IMPLEMENTACION%20DE%20ESTACION%20DE%20CARGA%20DE%20BATERIA</t>
  </si>
  <si>
    <t>Los ecógrafos tienen riesgo de daños, rayaduras</t>
  </si>
  <si>
    <t>Adecuación de sala de OQC con protecciones para operación de ecografos</t>
  </si>
  <si>
    <t>Ecografos</t>
  </si>
  <si>
    <t>OQC</t>
  </si>
  <si>
    <t>https://mirgor.sharepoint.com/sites/RODNEY/Shared%20Documents/RODNEY/GENERALES/MEJORA%20CONTINUA/7.%20ADECUACION%20DE%20OPERACION%20DE%20EQUIPOS%20MEDICOS</t>
  </si>
  <si>
    <t>Grabeco no cuenta con espacio para indumentaria, mochilas</t>
  </si>
  <si>
    <t>Percheros para servicios - graveco</t>
  </si>
  <si>
    <t>Ecografo</t>
  </si>
  <si>
    <t>https://mirgor.sharepoint.com/sites/RODNEY/Shared%20Documents/RODNEY/GENERALES/MEJORA%20CONTINUA/13.%20IMPLEMENTACION%20FISICA%20DE%20PAÑOL%20DE%20MANTENIMIENTO%20EN%20SUBSUELO</t>
  </si>
  <si>
    <t>985 / 999</t>
  </si>
  <si>
    <t>No se cuenta con proceso de rotura de pantalla de celulares</t>
  </si>
  <si>
    <t xml:space="preserve">Optimización de puesto de rotura de pantalla </t>
  </si>
  <si>
    <t>https://mirgor.sharepoint.com/sites/RODNEY/Shared%20Documents/RODNEY/GENERALES/MEJORA%20CONTINUA/4.%20OPTIMIZACION%20DE%20PUESTO%20DE%20ROTURA%20DE%20PANTALLA</t>
  </si>
  <si>
    <t>Los ecografos se almacenan a piso con complejidad para picking</t>
  </si>
  <si>
    <t>Adecuación de picking de ecografos, accesorios</t>
  </si>
  <si>
    <t>Depósito</t>
  </si>
  <si>
    <t>APLICA</t>
  </si>
  <si>
    <t>https://mirgor.sharepoint.com/sites/RODNEY/Shared%20Documents/RODNEY/GENERALES/MEJORA%20CONTINUA/3.%20ADECUACIÓN%20DE%20PICKING%20DE%20EQUIPOS%20MEDICOS</t>
  </si>
  <si>
    <t>No se cuenta con estaciones de reflash, software, logs</t>
  </si>
  <si>
    <t>Se añade 3 Puesto de FENRIR identificado en cada isla de reparación.</t>
  </si>
  <si>
    <t>https://mirgor.sharepoint.com/:f:/s/RODNEY/IgDGtBiKiClfQZD0aE3q-u1fAfSfPRYbf_1zUO94l2iGzDg?e=fqKIzT</t>
  </si>
  <si>
    <t>Reduccion de costos CIPG BONDING TOOL (Herramienta para reparación de telefonía)</t>
  </si>
  <si>
    <t>Reparacion de herramienta UB</t>
  </si>
  <si>
    <t>31.REDUCCION DE COSTO - CIPG BONDING TOOL ( HERRAMIENTA PARA REPARACION DE TELEFONIA )</t>
  </si>
  <si>
    <t>El proceso de enzunchado de pallet de tv presenta riesgos ergonomicos</t>
  </si>
  <si>
    <t>Soporte para paletizado de tv</t>
  </si>
  <si>
    <t>tv</t>
  </si>
  <si>
    <t>https://mirgor.sharepoint.com/sites/RODNEY/Shared%20Documents/RODNEY/GENERALES/MEJORA%20CONTINUA/29.%20ENZUNCHADO%20DE%20PALLET%20DE%20TV</t>
  </si>
  <si>
    <t>Las mesas de trabajo no cuentan con un estándar de alturas de trabajo, disposición de materiales, varios</t>
  </si>
  <si>
    <t>Adecuación de altura estándar de mesa de trabajo</t>
  </si>
  <si>
    <t>https://mirgor.sharepoint.com/sites/RODNEY/Shared%20Documents/RODNEY/GENERALES/MEJORA%20CONTINUA/2.%20ADECUACION%20ESTANDAR%20DE%20MESA%20DE%20TRABAJO</t>
  </si>
  <si>
    <t>No se cuenta con trazabilidad de partes falladas</t>
  </si>
  <si>
    <t>Puesto de evidencia para partes falladas</t>
  </si>
  <si>
    <t>https://mirgor.sharepoint.com/:f:/s/RODNEY/IgCL002YRHuuSLB2GdbTYppkAUSVKLsOGtXO5VN0nvnGhY4?e=vw4xqe</t>
  </si>
  <si>
    <t>Mantenimiento no cuenta con espacio físico para acopio de repuestos, herramientas, varios</t>
  </si>
  <si>
    <t>Mejora de layout subsuelo</t>
  </si>
  <si>
    <t>Mantenimiento</t>
  </si>
  <si>
    <t>No se discrimina irreparables / no reparables</t>
  </si>
  <si>
    <t>Division de gavetas (IRREPARABLES / NO REPARABLE)</t>
  </si>
  <si>
    <t>https://mirgor.sharepoint.com/:f:/s/RODNEY/IgDUJrPTKYYTRZEM2GSgKuuuAdlHSPw91be-84Vc0fS9ZJo?e=3Shccd</t>
  </si>
  <si>
    <t>No se cuenta con trazabilidad de repuestos de herramientas</t>
  </si>
  <si>
    <t>Registro de stock de herramientas del laboratorio</t>
  </si>
  <si>
    <t>33.MEJORA EN EL REGISTRO DE STOCK DE HERRAMIENTAS DEL LABORATORIO</t>
  </si>
  <si>
    <t>El tablero de gestión visual dificulta el tránsito operativo</t>
  </si>
  <si>
    <t>Mejora de layout Laboratorio  (Tablero gestión visual)</t>
  </si>
  <si>
    <t>https://mirgor.sharepoint.com/:f:/s/RODNEY/IgA18dZvKcfsQ5_mvy52RU3OAeaySGNImDx2yLBNiT6wHLY?e=7z5Yms</t>
  </si>
  <si>
    <t>Falta asignación de perchero en layout</t>
  </si>
  <si>
    <t>Mejora de layout Laboratorio (Perchero)</t>
  </si>
  <si>
    <t>https://mirgor.sharepoint.com/:f:/s/RODNEY/IgBKf12dEQzAQ40A8yso-t5IAQASHxioL_XHBobWH64Jo0M?e=JR1gIM</t>
  </si>
  <si>
    <t>Aseguramiento de productos SAMEDAY (Jaula+CajaFuerte)</t>
  </si>
  <si>
    <t>Construcción de jaula para transporte productos piso 2</t>
  </si>
  <si>
    <t>Sameday</t>
  </si>
  <si>
    <t>https://mirgor.sharepoint.com/sites/RODNEY/Shared%20Documents/RODNEY/GENERALES/MEJORA%20CONTINUA/26.%20ASEGURAMIENTO%20DE%20PRODUCTOS</t>
  </si>
  <si>
    <t>Equipo Rodney</t>
  </si>
  <si>
    <t>Planificar y ejecutar proyecto de SAMEDAY con equipo garantizando capacidad y flujo operativo</t>
  </si>
  <si>
    <t>Reaciondicionamiento de espacio para proyecto SAMEDAY</t>
  </si>
  <si>
    <t>https://mirgor.sharepoint.com/:f:/s/RODNEY/IgBuiikDJJCyRYhPSU40SmfFAduKEOk5WzrOuR_xYC774BE?e=Etq39V</t>
  </si>
  <si>
    <t>El proceso de manipulación de TV tiene riesgos ergonomicos y operativos</t>
  </si>
  <si>
    <t>Carro funcional ergonomico para TV</t>
  </si>
  <si>
    <t>TV</t>
  </si>
  <si>
    <t>https://mirgor.sharepoint.com/sites/RODNEY/Shared%20Documents/RODNEY/GENERALES/MEJORA%20CONTINUA/8.%20ADECUACION%20DE%20MANIPULACION%20DE%20TV</t>
  </si>
  <si>
    <t>No existe espacio de implementación de buzon de mejoras y tv</t>
  </si>
  <si>
    <t>Implementación buzon de mejoras</t>
  </si>
  <si>
    <t>Area comun</t>
  </si>
  <si>
    <t>Pasillo PB</t>
  </si>
  <si>
    <t>https://mirgor.sharepoint.com/sites/RODNEY/Shared%20Documents/RODNEY/GENERALES/MEJORA%20CONTINUA/20.%20IMPLEMENTACION%20DE%20BUZON%20DE%20MEJORA%20Y%20TV</t>
  </si>
  <si>
    <t>Aumentar capacidad de almacenamiento actual en depósito</t>
  </si>
  <si>
    <t>Proyectar, cotizar y ejecutar ampliación de racks</t>
  </si>
  <si>
    <t>Deposito</t>
  </si>
  <si>
    <t>https://mirgor.sharepoint.com/sites/RODNEY/Shared%20Documents/RODNEY/GENERALES/MEJORA%20CONTINUA/Aumento%20de%20Capacidad%20de%20Almacenamiento</t>
  </si>
  <si>
    <t>El registro de liberación de ecógrafos se realiza de forma manual</t>
  </si>
  <si>
    <t>Registro optimizado de liberación de Ecógrafos</t>
  </si>
  <si>
    <t>https://mirgor.sharepoint.com/sites/RODNEY/Shared%20Documents/RODNEY/GENERALES/MEJORA%20CONTINUA/5.%20REGISTRO%20OPTIMIZADO%20DE%20LIBERACIÓN%20DE%20ECÓGRAFOS</t>
  </si>
  <si>
    <t>Las llaves de las zonas del edificio se encuentran con riesgo a perdida, no estan inventariadas ni en posición fija</t>
  </si>
  <si>
    <t>Mejorar disposicion de llaves</t>
  </si>
  <si>
    <t>General</t>
  </si>
  <si>
    <t>RODNEY - Documentos - 43. MEJORA DE LLAVES - SECTOR SEGURIDAD</t>
  </si>
  <si>
    <t>Mejora de layout Laboratorio estanteria de despacho-insumos
Mejora de disposición de mercadería eficiente</t>
  </si>
  <si>
    <t>Mejorar estanteria de despacho e insumos</t>
  </si>
  <si>
    <t>Ceulares</t>
  </si>
  <si>
    <t>39. Mejora de layout Laboratorio estanteria de despacho-insumos</t>
  </si>
  <si>
    <t>Reducción de consumo de papel en etiquetado de insumos</t>
  </si>
  <si>
    <t xml:space="preserve">Hacer identificacion de pallet reutilizable </t>
  </si>
  <si>
    <t>https://mirgor.sharepoint.com/sites/RODNEY/Shared%20Documents/RODNEY/GENERALES/MEJORA%20CONTINUA/21.%20REDUCCIÓN%20DE%20CONSUMO%20DE%20PAPEL</t>
  </si>
  <si>
    <t xml:space="preserve">Mejora de ingreso / Egreso de personas </t>
  </si>
  <si>
    <t>Mejorar ingreso - egreso de personal</t>
  </si>
  <si>
    <t>https://mirgor.sharepoint.com/:f:/s/RODNEY/IgBOu1Ibo_x3RLFEydzggFTnAWivpsiFyRr_LaeBNaSrsbE?e=Wianx9</t>
  </si>
  <si>
    <t>E. Gil</t>
  </si>
  <si>
    <t>El indicador de ausentismo no cuenta con un control operativo eficiente
Mejorar base de información actual y eficientizar la base visual para la toma de decisiones</t>
  </si>
  <si>
    <t>Estandarizar gestion de ausentismo</t>
  </si>
  <si>
    <t>https://mirgor.sharepoint.com/:f:/s/RODNEY/IgDdf3Hvks7GSbIKDneNbSY6AQwmXbwnNUCy-tPnN2r99uc?e=nTGcdo</t>
  </si>
  <si>
    <t>M. Lousame</t>
  </si>
  <si>
    <t>Mejorar la operación y la ergonomia de bolsines
Eficientizar la ganchera de transición entre Deposito y BBTI</t>
  </si>
  <si>
    <t>Mejorar ingreso de bolsines a BBTI</t>
  </si>
  <si>
    <t>BBTI-Depo</t>
  </si>
  <si>
    <t>https://mirgor.sharepoint.com/sites/RODNEY/Shared%20Documents/RODNEY/GENERALES/MEJORA%20CONTINUA/28.%20BOLSINES%20DE%20CELULARES</t>
  </si>
  <si>
    <t>Mejora de visualización de puerta de circulación de personas entre areas</t>
  </si>
  <si>
    <t>Retirar puerta de circulación para evitar accidentes</t>
  </si>
  <si>
    <t>BBTI</t>
  </si>
  <si>
    <t>https://mirgor.sharepoint.com/sites/RODNEY/Shared%20Documents/RODNEY/GENERALES/MEJORA%20CONTINUA/23.%20MEJORA%20DE%20VISUALIZACIÓN%20DE%20PUERTA%20DE%20CIRCULACIÓN%20ENTRE%20AREAS</t>
  </si>
  <si>
    <t>Modernización de apertura y cierre de porton exterior</t>
  </si>
  <si>
    <t>Automatización de portón
1. Mejora de botón para subida y bajada
2. Mecanismo con enclavamiento para autonomia de subida y bajada
3. Colocar finales de carrera para evitar sobre giros de cortinas
4. Implementación de aplicativo para operatividad por RF y/o dispositivo celular
5. Integración de iluminación calle Leiva</t>
  </si>
  <si>
    <t>https://mirgor.sharepoint.com/:f:/s/RODNEY/IgCA_UlF-wdjT7wH59EJ1ttPAWnduO7SkZRIyUS9eyypYFc?e=vJs0xb</t>
  </si>
  <si>
    <t>Generales</t>
  </si>
  <si>
    <t>RODNEY - Documentos - 39.Mejora wifi en Deposito - Todos los documentos</t>
  </si>
  <si>
    <t>EN PROCESO</t>
  </si>
  <si>
    <t>Clasificación de carga de bidones de agua en estructura,
Disponer de 3 niveles con impacto ergonómico para bidones vacíos
Disponer de resto de niveles sin impacto ergónomico para cargar bidones llenos</t>
  </si>
  <si>
    <t>Clasificacion de bidones de agua en estructura</t>
  </si>
  <si>
    <t>https://mirgor.sharepoint.com/:x:/s/RODNEY/IQAiF3OYIOVvTovnBaJGWVhbARR7O-oejfr19NzjrPfRA_U?e=X6WgMp</t>
  </si>
  <si>
    <t>Destinar baño de piso 2, fuera de uso como deposito intermedio para consumibles,
Reacondicionar espacio para utilización posterior como deposito, mejorando la caminata de operaciones para picking de consumibles</t>
  </si>
  <si>
    <t>Depsito para consumibles "baño" piso 2</t>
  </si>
  <si>
    <t>https://mirgor.sharepoint.com/sites/RODNEY/Shared%20Documents/RODNEY/GENERALES/MEJORA%20CONTINUA/30.%20CONSUMIBLES%202DO%20PISO</t>
  </si>
  <si>
    <t>SI</t>
  </si>
  <si>
    <t>Soporte 3d para colocar lapiceras</t>
  </si>
  <si>
    <t>L. Segovia</t>
  </si>
  <si>
    <t>Reubicación de rollos de film 
1. Relevar cantidad de pallets que pueden reubicarse. 1 pallet en total
2. Diseñar estructura para colocar los films de forma tal que tenga capacidad de 1 pallet
3. Armar estructura, colocar a piso de planta, cargar con mercadería y zonificar</t>
  </si>
  <si>
    <t>Reubicacion de rollos film</t>
  </si>
  <si>
    <t>https://mirgor.sharepoint.com/:f:/s/RODNEY/IgDiMloAp0LDR6Pu4pWHX9VpAVXOgWuYIxZZ10Z5FvQdLvI?e=xRAQtS</t>
  </si>
  <si>
    <t>Melany Bolivar
Leonel Segovia
Matias Pavón</t>
  </si>
  <si>
    <t>Optimización de disposición cajas para procesamiento en BBTI</t>
  </si>
  <si>
    <t xml:space="preserve">1. Relevar layout existente y disposición de cajas
2. Reorganizar espacios para disponer las cajas aumentando la capacidad de almacenamiento (15 cajas inicialmente, 100 cajas final)
3. Cuantificar impacto para pedido de insumos a almacén </t>
  </si>
  <si>
    <t>https://mirgor.sharepoint.com/:x:/s/RODNEY/IQCvJiNT_fxMQYWUPOkGKK1tAad-KYvS4jeFBWEPSyVy6r8?e=FdNKXv</t>
  </si>
  <si>
    <t>oct</t>
  </si>
  <si>
    <t>https://mirgor.sharepoint.com/:f:/s/RODNEY/IgC402LyWvHYSpUvpxtnxg_nAUG-Pl6l2u6bOLeRilRPBcw?e=NbTWkr</t>
  </si>
  <si>
    <t>Rampa de transporte de bidones de agua en subsuelo</t>
  </si>
  <si>
    <t>1. Diseñar y prototipar rampa para colocar entre bajada de montacarga y nivel de piso terminado de subsuelo
2. Planificar armado de rampa y probar con servicios de limpieza con carro y bidones</t>
  </si>
  <si>
    <t>Subsuelo</t>
  </si>
  <si>
    <t>https://mirgor.sharepoint.com/:f:/s/RODNEY/IgCBD5uKA8iBR5S4508wcPxdAQzi41MX2vMxoJNbrj_On-E?e=GOvJXS</t>
  </si>
  <si>
    <t>Recepción</t>
  </si>
  <si>
    <t>https://mirgor.sharepoint.com/:f:/s/RODNEY/IgCm-3LjSpYFR7-ROBaPVFqQAa6incZFMGHHcNMLsK4sOOE?e=Y3Lo5a</t>
  </si>
  <si>
    <t>Melany Bolivar
Magali Arteaga
Silvana Jacinto
Luis Reyes</t>
  </si>
  <si>
    <t>Mejor trazabilidad de desvíos con transportistas de Calicó</t>
  </si>
  <si>
    <t>https://mirgor.sharepoint.com/:f:/s/RODNEY/IgD9Z0PvHo20SKyB90x8s-TvAY5xs9yHbDruAFVzHe1pbM4?e=sbzVkV</t>
  </si>
  <si>
    <t>Silvana Jacinto
Magali Arteaga</t>
  </si>
  <si>
    <t>Oficina de OQC, IQC</t>
  </si>
  <si>
    <t>https://mirgor.sharepoint.com/:f:/s/RODNEY/IgCbWNqA_QYdSrNTK9Rjl_p_Addj3SjjxTRGb9PJJtHTbR8?e=IOM62P</t>
  </si>
  <si>
    <t>Leonel Segovia
Luis Reyes
Carolina Lepez</t>
  </si>
  <si>
    <t>Los trasductores se almacenan a piso con complejidad para picking</t>
  </si>
  <si>
    <t>https://mirgor.sharepoint.com/:f:/s/RODNEY/IgBAY_t8FYlYQIT0XFkIytPJAboelFgZssH9PqgPZaXLfBg?e=lEga4a</t>
  </si>
  <si>
    <t>Pablo Amat
Luis Reyes</t>
  </si>
  <si>
    <t>Readecuación de Nicho A3 para redistribución de bolsines amarillos</t>
  </si>
  <si>
    <t>1. Reorganizar pallets en altura
2. Agregar estante en posición A3 para colocar bolsines
3. Ganancia = 2 posiciones arlog</t>
  </si>
  <si>
    <t>Mejorar retiro de zunchos para operación en BBTI y Depósito</t>
  </si>
  <si>
    <t>1. Diseñar y presupuestar pivot con base para retiro de zunchos
2. Armar prototipo con plato giratorio</t>
  </si>
  <si>
    <t>Mejora de aumento de capacidad</t>
  </si>
  <si>
    <t>1. Identificar desperdicios en operación de almacen
2. Registrar desperdicios a trabajar
3. Definir primeras acciones: plantear layout alternativo (racks subsuelo para consumibles), solicitar materiales
4. Realizar montaje de estructuras
5. Reorganizar consumibles en stock
6. Cuantificar ahorro de pallet arlog en deposito</t>
  </si>
  <si>
    <t>Colocación de percheros a pared para ampliar capacidad</t>
  </si>
  <si>
    <t>1. Relevar percheros fuera de uso
2. Planificar instalación
3. Instalar en coworking 1 y 2</t>
  </si>
  <si>
    <t>https://mirgor.sharepoint.com/:f:/s/RODNEY/IgASKwkba3Y_Q4jPEaeJ1OyvAbzHNs-b_YJmpwwKjk5VneQ?e=xVTajR</t>
  </si>
  <si>
    <t>NO INICIADO</t>
  </si>
  <si>
    <t>Reacondicionamiento de espacio - Soporte para CPU (Laboratorio)</t>
  </si>
  <si>
    <t>Adecuación de estándar de mesa de trabajo</t>
  </si>
  <si>
    <t>Eficientizar dashboards de control de áreas operativas</t>
  </si>
  <si>
    <t>Generar reunion con equipo y colectar información para KPIs</t>
  </si>
  <si>
    <t>Lider / Supervisor</t>
  </si>
  <si>
    <t>https://mirgor.sharepoint.com/sites/RODNEY/Shared%20Documents/RODNEY/GENERALES/MEJORA%20CONTINUA/17.%20MEJORA%20DE%20REGISTRO%20PRODUCTIVO%20PARA%20TOMA%20DECISIONES</t>
  </si>
  <si>
    <t>El procedimiento de repuestos no se encuentra estandarizado y se evidencian ineficiencias de stocks</t>
  </si>
  <si>
    <t>Optimización de gestión de repuestos</t>
  </si>
  <si>
    <t>https://mirgor.sharepoint.com/sites/RODNEY/Shared%20Documents/RODNEY/GENERALES/MEJORA%20CONTINUA/9.%20OPTIMIZACION%20DE%20GESTION%20DE%20REPUESTOS</t>
  </si>
  <si>
    <t>Mejorar operación de enfilmado de pallet</t>
  </si>
  <si>
    <t xml:space="preserve">Proyectar facilitadores de enfilmado de pallet </t>
  </si>
  <si>
    <t>https://mirgor.sharepoint.com/sites/RODNEY/Shared%20Documents/RODNEY/GENERALES/MEJORA%20CONTINUA/27.%20ENVOLVEDORA%20MANUAL%20DE%20PALLETS</t>
  </si>
  <si>
    <t>Espacio de carga sin asignación de ubicación ni operatividad eficiente y segura</t>
  </si>
  <si>
    <t xml:space="preserve">Espacio de limpieza de herramientas (pinceles, otros) de mantenimiento, limpieza </t>
  </si>
  <si>
    <t>1. Reacondicionar espacio operativo para colocar bacha de limpieza y conexiones
Necesidades: 
- Reutilización de bacha
- Consumibles de cañerias y accesorios de descarga (baja inversión)
- Griferia
2. Documentar y estandarizar proceso de limpieza</t>
  </si>
  <si>
    <t xml:space="preserve">Mesa de mayorista en Ferbi </t>
  </si>
  <si>
    <t>1. Analizar productos a piso para acopiar en altura
2. Diseñar y construir mesa de apoyo de productos</t>
  </si>
  <si>
    <t>Venta Ferbi-JBL</t>
  </si>
  <si>
    <t>Despacho</t>
  </si>
  <si>
    <t>Alejandro Lobos
Luis Reyes</t>
  </si>
  <si>
    <t>Tomas adicionales para coworking de área soporte</t>
  </si>
  <si>
    <t>1. Analizar cantidad de tomas que faltan
2. Comprar o instalar y conectar</t>
  </si>
  <si>
    <t>Coworking</t>
  </si>
  <si>
    <t>A definir</t>
  </si>
  <si>
    <t>Mejora de estructura y proceso de packing en operación de ferbi jbl</t>
  </si>
  <si>
    <t>1. Relevar proceso y estructura actual
2. Realizar diseño y validar
3. Construir mesa de trabajo y realizar prueba</t>
  </si>
  <si>
    <t>Melany Bolivar
Rocío Brizuela
Alegra Linares
Pablo Amat
Leonel Segovia</t>
  </si>
  <si>
    <t>Los procesos de atornillado no cuentan con un proceso ergonomico para la operación</t>
  </si>
  <si>
    <t>Adecuar brazos ergonomicos para procesos operativos</t>
  </si>
  <si>
    <t>Linea</t>
  </si>
  <si>
    <t>https://mirgor.sharepoint.com/sites/RODNEY/Shared%20Documents/RODNEY/GENERALES/MEJORA%20CONTINUA/18.%20BRAZOS%20PARA%20DOCUMENTACIÓN%20DE%20PUESTO</t>
  </si>
  <si>
    <t>Mejorar tiempo operativo de medición de tiempos en unidades productivas</t>
  </si>
  <si>
    <t>Adecuar soporte universal para MOWAS</t>
  </si>
  <si>
    <t>https://mirgor.sharepoint.com/sites/RODNEY/Shared%20Documents/RODNEY/GENERALES/MEJORA%20CONTINUA/15.%20MEJORA%20DE%20ESTUDIO%20DE%20TIEMPOS%20Y%20METODOS</t>
  </si>
  <si>
    <t>No existe una herramienta ni facilitador para colocar cinta a piso</t>
  </si>
  <si>
    <t>Proyectar herramienta como prototipo de colocación de cinta
Armar herramienta de colocación de cinta</t>
  </si>
  <si>
    <t>https://mirgor.sharepoint.com/sites/RODNEY/Shared%20Documents/RODNEY/GENERALES/MEJORA%20CONTINUA/11.%20HERRAMIENTAS%20PARA%20COLOCACION%20DE%20CINTA%20A%20PISO</t>
  </si>
  <si>
    <t>Optimizar espacios en nicho de consumibles (etiquetas, insumos, precintos, varios)</t>
  </si>
  <si>
    <t>1. Relevar cantidad de insumos y en que medio vienen
2. Generar espacio proximo a puesto de preparación de pedidos para reorganizar insumos
3. Diseñar y solicitar a mantenimiento estructuras moviles para acopio de insumos en gavetas</t>
  </si>
  <si>
    <t>Matias Pavon
Pablo Amat</t>
  </si>
  <si>
    <t>El proceso de ingreso de bolsines no está estandarizado, presenta riesgos operativos</t>
  </si>
  <si>
    <t xml:space="preserve">Mejorar ingreso de bolsines </t>
  </si>
  <si>
    <t>https://mirgor.sharepoint.com/sites/RODNEY/Shared%20Documents/RODNEY/GENERALES/MEJORA%20CONTINUA/10.%20MEJORA%20DE%20INGRESO%20DE%20BOLSINES</t>
  </si>
  <si>
    <t>Reutilización de espacio actual de limpieza para deposito de archivos</t>
  </si>
  <si>
    <t>1. Identificar puntos de operación de limpieza
2. Identificar stocks de limpieza
3. Reacondicionar baño piso 3
3.1. Retirar varios de baño para dejar acondicionado 
3.2. Reubicar estanterias de espacio actual de limpieza (PB) en baño piso 3
3.3. Ver la posibilidad de reubicar aire de Seguridad en piso 3 y equipo Sanyo en Seguridad
4. Reacondicionar espacio de piso de PB para acopiar registros M. Pavón, Libreria, consumibles</t>
  </si>
  <si>
    <t>Planta Baja
3er Piso</t>
  </si>
  <si>
    <t xml:space="preserve">El espacio de innecesarios tiene oportunidades de mejora para evitar riesgos </t>
  </si>
  <si>
    <t>1. Relevar los materiales existentes en sector y clasificar necesidad
2. Solicitar estructuras a planta para poder organizar la zona de innecesarios
3. Realizar el diseño y rackeo posterior a piso informando a partes intervinientes</t>
  </si>
  <si>
    <t>Pablo Amat
Matias Pavon
Luis Reyes</t>
  </si>
  <si>
    <t>Estante para productos chicos en jaula de deposito</t>
  </si>
  <si>
    <t>Melany Bolivar
Luis Reyes</t>
  </si>
  <si>
    <t>Sistema de monitoreo y control de servicios (consumos eléctricos, niveles de agua para cisterna, iluminación con encendidos automatizados, otros)</t>
  </si>
  <si>
    <t>En periodo de prueba. Pendiente cierre de fecha de implementación al 100%</t>
  </si>
  <si>
    <t>Pablo Amat
Leonel Segovia
Luis Reyes</t>
  </si>
  <si>
    <t>Estandarización de layout con marcaciones a piso con pintura</t>
  </si>
  <si>
    <t>1. Marcación amarilla perimetral OK
2. Marcación con cinta amarilla espacios operativos sujetos a cambio
3. Marcación azul pendiente de compra 
4. Relevar necesidades de pintura pendiente (1 roja, 4 azules)</t>
  </si>
  <si>
    <t>Implementar webcam para escaneo de IMEI en BBTI</t>
  </si>
  <si>
    <t>En periodo de prueba. Pendiente cierre de fecha de implementación al 100%
Pendiente compra de cajas (ver con Marcos)</t>
  </si>
  <si>
    <t>Validación y compra</t>
  </si>
  <si>
    <t>Melany Bolivar
Leonel Segovia</t>
  </si>
  <si>
    <t>Generar almacenamiento en layout para batch de cajas en BBTI</t>
  </si>
  <si>
    <t>1. Relevar necesidad de BBTI
2. Analizar si cajon en mantenimietno cubre dicha necesidad</t>
  </si>
  <si>
    <t>Gabriel Duran
Luis Reyes</t>
  </si>
  <si>
    <t>Agregado de AP y mejora de conectividad de red para servicios y área soporte</t>
  </si>
  <si>
    <t xml:space="preserve">1. Resta cargar evidencia </t>
  </si>
  <si>
    <t xml:space="preserve">  </t>
  </si>
  <si>
    <t>FOLLOW UP PEDIDOS</t>
  </si>
  <si>
    <t>Sector de carga de celulares</t>
  </si>
  <si>
    <t>Agregar puestos de carga para el personal, identificando claramente cada sector, en la planta baja antes del ingreso. De esta manera, todos los colaboradores podrán acceder a puntos de carga de forma autónoma, sin necesidad de solicitar equipos o asistencia al personal de seguridad, optimizando la disponibilidad y agilizando la operatoria diaria.</t>
  </si>
  <si>
    <t>Vinagre y adheresos para comedor</t>
  </si>
  <si>
    <t xml:space="preserve">Agregar vinagre, otros para comedor </t>
  </si>
  <si>
    <t>sep</t>
  </si>
  <si>
    <t>nov</t>
  </si>
  <si>
    <t>Zona R6</t>
  </si>
  <si>
    <t>same day/ Venta ferbi-JBL</t>
  </si>
  <si>
    <t>Marcos Barbieri</t>
  </si>
  <si>
    <t>Rocio Brizuela</t>
  </si>
  <si>
    <t>Allegra Linares</t>
  </si>
  <si>
    <t>Etiquetas de fila</t>
  </si>
  <si>
    <t>Cuenta de STATUS</t>
  </si>
  <si>
    <t>Tgt</t>
  </si>
  <si>
    <t>Curr</t>
  </si>
  <si>
    <t>mar</t>
  </si>
  <si>
    <t>Gestión de Mejoras - Planta Rodney</t>
  </si>
  <si>
    <t xml:space="preserve">Código: </t>
  </si>
  <si>
    <t>FG-PS16-037</t>
  </si>
  <si>
    <t xml:space="preserve">Revisión: </t>
  </si>
  <si>
    <t xml:space="preserve">Fecha de Rev.: </t>
  </si>
  <si>
    <t>Fórmula de Cálculo:</t>
  </si>
  <si>
    <t>(Numerador / Denominador ) * (100 si unidad es %, 1000000 si unidad es ppm o nada si unidad es  valor absoluto)</t>
  </si>
  <si>
    <t>Responsable:</t>
  </si>
  <si>
    <t>Apellido, Nombre</t>
  </si>
  <si>
    <t>En caso de que el indicador dé fuera de objetivo, se realizará analisis de causa y definirá acciones de corrección.</t>
  </si>
  <si>
    <t>Descripción de Mejoras</t>
  </si>
  <si>
    <t>Acción planeada</t>
  </si>
  <si>
    <t>Responsable</t>
  </si>
  <si>
    <t>Fecha Objetivo</t>
  </si>
  <si>
    <t>ELEGI MES</t>
  </si>
  <si>
    <t>B32/C32*1000000</t>
  </si>
  <si>
    <t>DATOS DE GRAFICO INDICADOR</t>
  </si>
  <si>
    <t>Periodo</t>
  </si>
  <si>
    <t>Valor 
KPI</t>
  </si>
  <si>
    <t>Objetivo ≥</t>
  </si>
  <si>
    <t>Dentro de objetivo</t>
  </si>
  <si>
    <t>Fuera de objetivo</t>
  </si>
  <si>
    <t>Tendencias</t>
  </si>
  <si>
    <t>S-01</t>
  </si>
  <si>
    <t>S-02</t>
  </si>
  <si>
    <t>S-03</t>
  </si>
  <si>
    <t>S-04</t>
  </si>
  <si>
    <t>S-05</t>
  </si>
  <si>
    <t>S-06</t>
  </si>
  <si>
    <t>S-07</t>
  </si>
  <si>
    <t>S-08</t>
  </si>
  <si>
    <t>S-09</t>
  </si>
  <si>
    <t>S-10</t>
  </si>
  <si>
    <t>S-11</t>
  </si>
  <si>
    <t>S-12</t>
  </si>
  <si>
    <t>S-13</t>
  </si>
  <si>
    <t>S-14</t>
  </si>
  <si>
    <t>S-15</t>
  </si>
  <si>
    <t>S-16</t>
  </si>
  <si>
    <t>S-17</t>
  </si>
  <si>
    <t>S-18</t>
  </si>
  <si>
    <t>S-19</t>
  </si>
  <si>
    <t>S-20</t>
  </si>
  <si>
    <t>S-21</t>
  </si>
  <si>
    <t>S-22</t>
  </si>
  <si>
    <t>S-23</t>
  </si>
  <si>
    <t>S-24</t>
  </si>
  <si>
    <t>S-25</t>
  </si>
  <si>
    <t>S-26</t>
  </si>
  <si>
    <t>S-27</t>
  </si>
  <si>
    <t>S-28</t>
  </si>
  <si>
    <t>S-29</t>
  </si>
  <si>
    <t>S-30</t>
  </si>
  <si>
    <t>S-31</t>
  </si>
  <si>
    <t>S-32</t>
  </si>
  <si>
    <t>S-33</t>
  </si>
  <si>
    <t>S-34</t>
  </si>
  <si>
    <t>S-35</t>
  </si>
  <si>
    <t>S-36</t>
  </si>
  <si>
    <t>S-37</t>
  </si>
  <si>
    <t>S-38</t>
  </si>
  <si>
    <t>S-39</t>
  </si>
  <si>
    <t>S-40</t>
  </si>
  <si>
    <t>S-41</t>
  </si>
  <si>
    <t>S-42</t>
  </si>
  <si>
    <t>S-43</t>
  </si>
  <si>
    <t>S-44</t>
  </si>
  <si>
    <t>S-45</t>
  </si>
  <si>
    <t>S-46</t>
  </si>
  <si>
    <t>S-47</t>
  </si>
  <si>
    <t>S-48</t>
  </si>
  <si>
    <t>S-49</t>
  </si>
  <si>
    <t>S-50</t>
  </si>
  <si>
    <t>S-51</t>
  </si>
  <si>
    <t>S-52</t>
  </si>
  <si>
    <t>DATOS DE GRAFICO PARETO</t>
  </si>
  <si>
    <t>Eje horizontal valor</t>
  </si>
  <si>
    <t>Unidades para mostrar eje vertical categoria</t>
  </si>
  <si>
    <t>OBJETIVO ANUALES</t>
  </si>
  <si>
    <t>OBJETIVOS MENSUALES</t>
  </si>
  <si>
    <t>OBJETIVO SEMANAL</t>
  </si>
  <si>
    <t>OBJETIVO DIARIO</t>
  </si>
  <si>
    <t>L. Frangella</t>
  </si>
  <si>
    <t>M. Nicastro</t>
  </si>
  <si>
    <t>J. Roldan</t>
  </si>
  <si>
    <t>Zona</t>
  </si>
  <si>
    <t>Adecuacion de espacio en cada piso para limpieza</t>
  </si>
  <si>
    <t>Limpieza</t>
  </si>
  <si>
    <t>Laboratorio de Celulares</t>
  </si>
  <si>
    <t>Áreas Comunes</t>
  </si>
  <si>
    <t>Buy Back and Trade In</t>
  </si>
  <si>
    <t>Piso 2</t>
  </si>
  <si>
    <t>Etiquetas de columna</t>
  </si>
  <si>
    <t>Laboratorio no cuenta con espacio físico para acopio de repuestos, herramientas, varios</t>
  </si>
  <si>
    <t>1033 / 1091</t>
  </si>
  <si>
    <t>Falta conectividad de operaciones en deposito
Access points en el deposito + cableado de red</t>
  </si>
  <si>
    <t>Mejora de WIFI en deposito</t>
  </si>
  <si>
    <t>Incorporar racks en subsuelo para pañol de mantenimiento</t>
  </si>
  <si>
    <t>Se dispone de armarios en cada piso para que limpieza cuente con un stock
 en todos los pisos</t>
  </si>
  <si>
    <t>1015/987</t>
  </si>
  <si>
    <t>Por obsolescencia de materiales, dispositivos, y eficiencia de iluminación se evalua recambio de luminaria a formato LED
Mejora de Eficiencia Energética :
Hall de ingreso 
Iluminación comedor (abril)
Iluminación piso 1 
Iluminación deposito
Metrica: $/Kwh ahorro</t>
  </si>
  <si>
    <t>Mejora de Eficiencia Energética</t>
  </si>
  <si>
    <t>Relayout de puesto de recepción
1. Identificar oportunidades de mejora
2. Registrar la condición inicial de layout
3. Reorganizar el espacio:
3.1. Corrimiento de jaula 1mt hacia portón (revisar cámara)
3.2. Retiro de escritorio fuera de uso y reorganización de estanterias
3.3. Agregar estante en jaula
3.4. Armado de estructura para colocar impresoras
3.5. Agregar 1 estante para colocar stock mínimo de resma, formularios</t>
  </si>
  <si>
    <t>Relayout puesto de recepción</t>
  </si>
  <si>
    <t>Readecuación de estructuras para apoyo de trasductores, varios, poco eficiente restando espacio operativo para procesado de equipos
1. Analizar los movimientos
2. Reacondicionar estructura de apoyo para que sea pivoteante y que no obstruya el paso sino se usa</t>
  </si>
  <si>
    <t>Estructura de apoyo pivot para transductores</t>
  </si>
  <si>
    <t xml:space="preserve">
1. Relevar en depósito necesidad
2. Acondicionar estante para bolsin dentro de jaula</t>
  </si>
  <si>
    <t>Replicar carro de almacenamiento equivalente a trasductores</t>
  </si>
  <si>
    <t>Evitar que personal ajeno a planta visualice operaciones internas
Colocar films polarizados en toda ventana expuesta a 3ros</t>
  </si>
  <si>
    <t>Relayout de mesa de embalaje en piso 2, operación Ferbi-JBL, Sameday</t>
  </si>
  <si>
    <t>Rediseño y armado de mesa de embalaje</t>
  </si>
  <si>
    <t>1. Relevar necesidades operativas con proceso de embalaje
2. Armar mesa nueva de embalaje con consideraciones operativas, de seguridad y ergonomía
3. Armar hoja de proceso para documentar operación</t>
  </si>
  <si>
    <t>Melany Bolivar
Luis Reyes
Leonel Segovia
Rocío Brizuela
Allegra Linares</t>
  </si>
  <si>
    <t>Film polarizado para ventanas exteriores</t>
  </si>
  <si>
    <t>1. Relevar necesidades operativas con flujos de materiales, productos
2. Relayout de despacho en piso 2:
2.1. Armar estructura para impresora e insumos
2.2. Corrimiento de pallet de cartones (descarte) 
2.3. Corrimiento y posicionamiento de nueva embalaje</t>
  </si>
  <si>
    <t>Melany Bolivar
Luis Reyes
Leonel Segovia
Pablo Amat
Ramiro Di Bernardo</t>
  </si>
  <si>
    <t>Mejor trazabilidad de desvíos con transportistas de Calicó
1. Calico no cuenta con control de trazabilidad de mercadería
2. Registrar por foto la recepción (planilla de rendción, nota de devolución, detalle de pallet)
3. Actualizar la hoja de proceso</t>
  </si>
  <si>
    <t>Evitar perdidas de lapiceras en ubicaciones de registros en planta
Diseñar, ejecutar e imprimir soporte 3d para colocar lapiceras
Agregar costos para hacer un look across (Leo Segovia)
Costo unitario: $730,91 
Costo implementación: $14618,20 (20 unidades totales)
Compra de birome por pérdida: $ XXX</t>
  </si>
  <si>
    <t>Leo Segovia</t>
  </si>
  <si>
    <t>S. Beltrame
Melany Bolivar
Leo Segovia</t>
  </si>
  <si>
    <t>Matias Pavon
Melany Bolivar
Leo Segovia</t>
  </si>
  <si>
    <t>Luis Reyes
Melany Bolivar</t>
  </si>
  <si>
    <t>Melany Bolivar
Leo Segovia
Luis Reyes</t>
  </si>
  <si>
    <t>Luis Reyes
Matias Pavon</t>
  </si>
  <si>
    <t>Melany Bolivar
Matias Pavon
Matias Lousame</t>
  </si>
  <si>
    <t>Gonzalo Gomez
Melany Bolivar
Matias Lousame</t>
  </si>
  <si>
    <t>Melany Bolivar
Matias Lousame</t>
  </si>
  <si>
    <t>Matias Lousame
M.Bolivar</t>
  </si>
  <si>
    <t>Pablo Amat
Luis Reyes
Leo Segovia
Melany Bolivar
Gonzalo Gomez</t>
  </si>
  <si>
    <t>Pablo Amat
Luis Reyes
Melany Bolivar
Gonzalo Gomez</t>
  </si>
  <si>
    <t>Pablo Amat
Luis Reyes
Leo Segovia
Melany Bolivar
Gonzalo Gomez
Ale.lobos</t>
  </si>
  <si>
    <t>Pablo Amat
Servicios</t>
  </si>
  <si>
    <t>Matias Pavon
Gabriel Duran
Melany Bolivar
Luis Reyes</t>
  </si>
  <si>
    <t>Matias Pavon
Gabriel Duran
Melany Bolivar
Matias Lousame</t>
  </si>
  <si>
    <t>Gabriel Duran
Melany Bolivar
Luis Reyes</t>
  </si>
  <si>
    <t>Luis Reyes
Gabriel Duran
Melany Bolivar</t>
  </si>
  <si>
    <t>Melany Bolivar
Leo Segovia
Pablo Amat
Carolina Lepez</t>
  </si>
  <si>
    <t>Carolina Lepez
W. Marquez</t>
  </si>
  <si>
    <t>Luis Reyes
Melany Bolivar
Leo Segovia
Pablo Amat
Matias Lousame
Carolina Lepez</t>
  </si>
  <si>
    <t>Gonzalo Gomez
Leo Segovia</t>
  </si>
  <si>
    <t>Gonzalo Gomez 
M.Bolivar
L.Segovia
M.Lousame</t>
  </si>
  <si>
    <t>Gonzalo Gomez
P.amat</t>
  </si>
  <si>
    <t>Elis Gil
Luis Reyes
Pablo Amat
Leo Segovia</t>
  </si>
  <si>
    <t>Elis Gil
Leo Segovia</t>
  </si>
  <si>
    <t>Carlos Lopez
Matias Lousame</t>
  </si>
  <si>
    <t>Gonzalo Gomez
Rodrigo Pavon
Alejandro Lobos
Matias Lousame
Melany Bolivar</t>
  </si>
  <si>
    <t>Diseñar e implementar soporte elevado para cargador de apiladora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</si>
</sst>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dd/mm/yy;@"/>
    <numFmt numFmtId="165" formatCode="mmm"/>
  </numFmts>
  <fonts count="47">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0"/>
      <name val="Arial"/>
      <family val="2"/>
    </font>
    <font>
      <u/>
      <sz val="11"/>
      <color theme="10"/>
      <name val="Arial"/>
      <family val="2"/>
    </font>
    <font>
      <sz val="8"/>
      <name val="Arial"/>
      <family val="2"/>
    </font>
    <font>
      <sz val="11"/>
      <color theme="1"/>
      <name val="Arial"/>
      <family val="2"/>
    </font>
    <font>
      <sz val="11"/>
      <color rgb="FFFF0000"/>
      <name val="Calibri"/>
      <family val="2"/>
      <scheme val="minor"/>
    </font>
    <font>
      <b/>
      <sz val="36"/>
      <color theme="0"/>
      <name val="Darker Grotesque SemiBold"/>
    </font>
    <font>
      <sz val="12"/>
      <color theme="0"/>
      <name val="Work Sans"/>
    </font>
    <font>
      <b/>
      <sz val="16"/>
      <color theme="1"/>
      <name val="Calibri"/>
      <family val="2"/>
      <scheme val="minor"/>
    </font>
    <font>
      <b/>
      <sz val="16"/>
      <name val="Work Sans"/>
    </font>
    <font>
      <b/>
      <sz val="14"/>
      <color theme="0"/>
      <name val="Work Sans"/>
    </font>
    <font>
      <sz val="12"/>
      <color theme="1"/>
      <name val="Work Sans"/>
    </font>
    <font>
      <sz val="11"/>
      <color theme="1"/>
      <name val="Work Sans"/>
    </font>
    <font>
      <b/>
      <sz val="16"/>
      <color theme="0"/>
      <name val="Work Sans"/>
    </font>
    <font>
      <sz val="11"/>
      <color theme="0"/>
      <name val="Work Sans"/>
    </font>
    <font>
      <sz val="11"/>
      <color rgb="FF00B0F0"/>
      <name val="Calibri"/>
      <family val="2"/>
      <scheme val="minor"/>
    </font>
    <font>
      <b/>
      <sz val="11"/>
      <color theme="0"/>
      <name val="Work Sans"/>
    </font>
    <font>
      <sz val="20"/>
      <color theme="1"/>
      <name val="Calibri"/>
      <family val="2"/>
      <scheme val="minor"/>
    </font>
    <font>
      <b/>
      <sz val="14"/>
      <color theme="1"/>
      <name val="Calibri"/>
      <family val="2"/>
      <scheme val="minor"/>
    </font>
    <font>
      <sz val="11"/>
      <color theme="0"/>
      <name val="Calibri"/>
      <family val="2"/>
      <scheme val="minor"/>
    </font>
    <font>
      <b/>
      <sz val="12"/>
      <color theme="1"/>
      <name val="Calibri"/>
      <family val="2"/>
      <scheme val="minor"/>
    </font>
    <font>
      <b/>
      <sz val="12"/>
      <name val="Work Sans"/>
    </font>
    <font>
      <sz val="20"/>
      <color theme="0"/>
      <name val="Calibri"/>
      <family val="2"/>
      <scheme val="minor"/>
    </font>
    <font>
      <b/>
      <sz val="11"/>
      <color theme="1"/>
      <name val="Arial"/>
      <family val="2"/>
    </font>
    <font>
      <sz val="9"/>
      <color theme="1"/>
      <name val="Arial"/>
      <family val="2"/>
    </font>
    <font>
      <sz val="11"/>
      <color theme="1" tint="0.499984740745262"/>
      <name val="Arial"/>
      <family val="2"/>
    </font>
    <font>
      <sz val="11"/>
      <color theme="2" tint="-0.249977111117893"/>
      <name val="Arial"/>
      <family val="2"/>
    </font>
    <font>
      <sz val="12"/>
      <color theme="0"/>
      <name val="Arial"/>
      <family val="2"/>
    </font>
    <font>
      <sz val="12"/>
      <name val="Arial"/>
      <family val="2"/>
    </font>
    <font>
      <b/>
      <sz val="10"/>
      <color theme="1"/>
      <name val="Calibri"/>
      <family val="2"/>
      <scheme val="minor"/>
    </font>
    <font>
      <b/>
      <sz val="10"/>
      <name val="Work Sans"/>
    </font>
    <font>
      <b/>
      <sz val="36"/>
      <color theme="0"/>
      <name val="Arial"/>
      <family val="2"/>
    </font>
    <font>
      <sz val="12"/>
      <color theme="0"/>
      <name val="72"/>
      <family val="2"/>
    </font>
    <font>
      <b/>
      <sz val="12"/>
      <color theme="0"/>
      <name val="72"/>
      <family val="2"/>
    </font>
    <font>
      <sz val="12"/>
      <name val="72"/>
      <family val="2"/>
    </font>
    <font>
      <b/>
      <sz val="12"/>
      <name val="72"/>
      <family val="2"/>
    </font>
    <font>
      <u/>
      <sz val="12"/>
      <name val="72"/>
      <family val="2"/>
    </font>
    <font>
      <u/>
      <sz val="12"/>
      <color theme="10"/>
      <name val="72"/>
      <family val="2"/>
    </font>
    <font>
      <b/>
      <sz val="36"/>
      <color theme="0"/>
      <name val="72"/>
      <family val="2"/>
    </font>
    <font>
      <sz val="12"/>
      <color rgb="FFFF0000"/>
      <name val="72"/>
      <family val="2"/>
    </font>
    <font>
      <b/>
      <sz val="12"/>
      <color rgb="FF605E5C"/>
      <name val="Segoe UI"/>
      <family val="2"/>
    </font>
    <font>
      <sz val="12"/>
      <name val="72"/>
    </font>
    <font>
      <b/>
      <sz val="12"/>
      <color rgb="FF605E5C"/>
      <name val="Segoe UI"/>
      <family val="2"/>
    </font>
  </fonts>
  <fills count="22">
    <fill>
      <patternFill patternType="none"/>
    </fill>
    <fill>
      <patternFill patternType="gray125"/>
    </fill>
    <fill>
      <patternFill patternType="solid">
        <fgColor theme="4"/>
      </patternFill>
    </fill>
    <fill>
      <patternFill patternType="solid">
        <fgColor theme="4" tint="0.59999389629810485"/>
        <bgColor indexed="65"/>
      </patternFill>
    </fill>
    <fill>
      <patternFill patternType="solid">
        <fgColor theme="4" tint="0.39997558519241921"/>
        <bgColor indexed="65"/>
      </patternFill>
    </fill>
    <fill>
      <patternFill patternType="solid">
        <fgColor theme="4"/>
        <bgColor theme="4"/>
      </patternFill>
    </fill>
    <fill>
      <patternFill patternType="solid">
        <fgColor theme="1"/>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rgb="FF141736"/>
        <bgColor theme="0"/>
      </patternFill>
    </fill>
    <fill>
      <patternFill patternType="solid">
        <fgColor indexed="65"/>
        <bgColor theme="0"/>
      </patternFill>
    </fill>
    <fill>
      <patternFill patternType="solid">
        <fgColor rgb="FFCAA893"/>
        <bgColor theme="0"/>
      </patternFill>
    </fill>
    <fill>
      <patternFill patternType="solid">
        <fgColor rgb="FF0040FF"/>
        <bgColor theme="0"/>
      </patternFill>
    </fill>
    <fill>
      <patternFill patternType="solid">
        <fgColor rgb="FF003BFF"/>
        <bgColor indexed="64"/>
      </patternFill>
    </fill>
    <fill>
      <patternFill patternType="solid">
        <fgColor rgb="FF003BFF"/>
        <bgColor theme="0"/>
      </patternFill>
    </fill>
    <fill>
      <patternFill patternType="solid">
        <fgColor theme="0"/>
        <bgColor indexed="64"/>
      </patternFill>
    </fill>
    <fill>
      <patternFill patternType="solid">
        <fgColor theme="0"/>
        <bgColor theme="0"/>
      </patternFill>
    </fill>
    <fill>
      <patternFill patternType="solid">
        <fgColor theme="2" tint="-0.249977111117893"/>
        <bgColor indexed="64"/>
      </patternFill>
    </fill>
    <fill>
      <patternFill patternType="solid">
        <fgColor rgb="FF75FFB3"/>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9.9978637043366805E-2"/>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9">
    <xf numFmtId="0" fontId="0" fillId="0" borderId="0"/>
    <xf numFmtId="0" fontId="5"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9" fontId="8" fillId="0" borderId="0" applyFont="0" applyFill="0" applyBorder="0" applyAlignment="0" applyProtection="0"/>
    <xf numFmtId="0" fontId="2" fillId="0" borderId="0"/>
    <xf numFmtId="9" fontId="2" fillId="0" borderId="0" applyFont="0" applyFill="0" applyBorder="0" applyAlignment="0" applyProtection="0"/>
  </cellStyleXfs>
  <cellXfs count="251">
    <xf numFmtId="0" fontId="0" fillId="0" borderId="0" xfId="0"/>
    <xf numFmtId="0" fontId="0" fillId="0" borderId="0" xfId="0" pivotButton="1"/>
    <xf numFmtId="0" fontId="0" fillId="0" borderId="0" xfId="0" applyAlignment="1">
      <alignment horizontal="center" vertical="center"/>
    </xf>
    <xf numFmtId="10" fontId="0" fillId="0" borderId="0" xfId="6" applyNumberFormat="1" applyFont="1"/>
    <xf numFmtId="0" fontId="2" fillId="0" borderId="0" xfId="7" applyAlignment="1">
      <alignment horizontal="center"/>
    </xf>
    <xf numFmtId="0" fontId="2" fillId="10" borderId="0" xfId="7" applyFill="1"/>
    <xf numFmtId="0" fontId="12" fillId="10" borderId="0" xfId="7" applyFont="1" applyFill="1"/>
    <xf numFmtId="0" fontId="15" fillId="0" borderId="0" xfId="7" applyFont="1"/>
    <xf numFmtId="0" fontId="2" fillId="10" borderId="0" xfId="7" applyFill="1" applyAlignment="1">
      <alignment horizontal="left" vertical="center"/>
    </xf>
    <xf numFmtId="0" fontId="12" fillId="0" borderId="0" xfId="7" applyFont="1" applyAlignment="1">
      <alignment horizontal="center"/>
    </xf>
    <xf numFmtId="49" fontId="12" fillId="0" borderId="0" xfId="7" applyNumberFormat="1" applyFont="1" applyAlignment="1">
      <alignment horizontal="center"/>
    </xf>
    <xf numFmtId="0" fontId="2" fillId="0" borderId="0" xfId="7"/>
    <xf numFmtId="0" fontId="18" fillId="14" borderId="15" xfId="7" applyFont="1" applyFill="1" applyBorder="1" applyAlignment="1">
      <alignment horizontal="center" vertical="center"/>
    </xf>
    <xf numFmtId="0" fontId="18" fillId="14" borderId="2" xfId="7" applyFont="1" applyFill="1" applyBorder="1" applyAlignment="1">
      <alignment horizontal="center" vertical="center"/>
    </xf>
    <xf numFmtId="0" fontId="18" fillId="14" borderId="16" xfId="7" applyFont="1" applyFill="1" applyBorder="1" applyAlignment="1">
      <alignment horizontal="center" vertical="center" wrapText="1"/>
    </xf>
    <xf numFmtId="0" fontId="18" fillId="14" borderId="16" xfId="7" applyFont="1" applyFill="1" applyBorder="1" applyAlignment="1">
      <alignment horizontal="center" vertical="center"/>
    </xf>
    <xf numFmtId="0" fontId="2" fillId="10" borderId="4" xfId="7" applyFill="1" applyBorder="1" applyAlignment="1">
      <alignment horizontal="center" vertical="center"/>
    </xf>
    <xf numFmtId="0" fontId="2" fillId="10" borderId="0" xfId="7" applyFill="1" applyAlignment="1">
      <alignment horizontal="center"/>
    </xf>
    <xf numFmtId="0" fontId="2" fillId="10" borderId="7" xfId="7" applyFill="1" applyBorder="1" applyAlignment="1">
      <alignment horizontal="center" vertical="center"/>
    </xf>
    <xf numFmtId="3" fontId="0" fillId="10" borderId="1" xfId="8" applyNumberFormat="1" applyFont="1" applyFill="1" applyBorder="1" applyAlignment="1">
      <alignment horizontal="center" vertical="center"/>
    </xf>
    <xf numFmtId="0" fontId="2" fillId="0" borderId="7" xfId="7" applyBorder="1" applyAlignment="1">
      <alignment horizontal="center"/>
    </xf>
    <xf numFmtId="3" fontId="0" fillId="0" borderId="1" xfId="8" applyNumberFormat="1" applyFont="1" applyBorder="1" applyAlignment="1">
      <alignment horizontal="center"/>
    </xf>
    <xf numFmtId="0" fontId="2" fillId="0" borderId="17" xfId="7" applyBorder="1" applyAlignment="1">
      <alignment horizontal="center"/>
    </xf>
    <xf numFmtId="3" fontId="0" fillId="0" borderId="3" xfId="8" applyNumberFormat="1" applyFont="1" applyBorder="1" applyAlignment="1">
      <alignment horizontal="center"/>
    </xf>
    <xf numFmtId="0" fontId="19" fillId="14" borderId="19" xfId="7" applyFont="1" applyFill="1" applyBorder="1" applyAlignment="1">
      <alignment horizontal="center" vertical="center"/>
    </xf>
    <xf numFmtId="3" fontId="2" fillId="14" borderId="20" xfId="7" applyNumberFormat="1" applyFill="1" applyBorder="1" applyAlignment="1">
      <alignment horizontal="center" vertical="center"/>
    </xf>
    <xf numFmtId="17" fontId="2" fillId="10" borderId="22" xfId="7" applyNumberFormat="1" applyFill="1" applyBorder="1" applyAlignment="1">
      <alignment horizontal="center" vertical="center"/>
    </xf>
    <xf numFmtId="17" fontId="2" fillId="10" borderId="7" xfId="7" applyNumberFormat="1" applyFill="1" applyBorder="1" applyAlignment="1">
      <alignment horizontal="center" vertical="center"/>
    </xf>
    <xf numFmtId="17" fontId="2" fillId="0" borderId="7" xfId="7" applyNumberFormat="1" applyBorder="1" applyAlignment="1">
      <alignment horizontal="center"/>
    </xf>
    <xf numFmtId="3" fontId="2" fillId="0" borderId="1" xfId="7" applyNumberFormat="1" applyBorder="1"/>
    <xf numFmtId="17" fontId="2" fillId="0" borderId="8" xfId="7" applyNumberFormat="1" applyBorder="1" applyAlignment="1">
      <alignment horizontal="center"/>
    </xf>
    <xf numFmtId="17" fontId="2" fillId="0" borderId="22" xfId="7" applyNumberFormat="1" applyBorder="1" applyAlignment="1">
      <alignment horizontal="center"/>
    </xf>
    <xf numFmtId="3" fontId="0" fillId="0" borderId="1" xfId="8" applyNumberFormat="1" applyFont="1" applyBorder="1"/>
    <xf numFmtId="17" fontId="2" fillId="0" borderId="17" xfId="7" applyNumberFormat="1" applyBorder="1" applyAlignment="1">
      <alignment horizontal="center"/>
    </xf>
    <xf numFmtId="17" fontId="2" fillId="0" borderId="4" xfId="7" applyNumberFormat="1" applyBorder="1" applyAlignment="1">
      <alignment horizontal="center"/>
    </xf>
    <xf numFmtId="0" fontId="19" fillId="14" borderId="25" xfId="7" applyFont="1" applyFill="1" applyBorder="1" applyAlignment="1">
      <alignment horizontal="center" vertical="center"/>
    </xf>
    <xf numFmtId="3" fontId="2" fillId="14" borderId="26" xfId="7" applyNumberFormat="1" applyFill="1" applyBorder="1" applyAlignment="1">
      <alignment horizontal="center" vertical="center"/>
    </xf>
    <xf numFmtId="0" fontId="2" fillId="0" borderId="4" xfId="7" applyBorder="1"/>
    <xf numFmtId="0" fontId="2" fillId="0" borderId="7" xfId="7" applyBorder="1"/>
    <xf numFmtId="0" fontId="2" fillId="0" borderId="8" xfId="7" applyBorder="1"/>
    <xf numFmtId="1" fontId="2" fillId="10" borderId="22" xfId="7" applyNumberFormat="1" applyFill="1" applyBorder="1" applyAlignment="1">
      <alignment horizontal="center" vertical="center"/>
    </xf>
    <xf numFmtId="1" fontId="2" fillId="10" borderId="7" xfId="7" applyNumberFormat="1" applyFill="1" applyBorder="1" applyAlignment="1">
      <alignment horizontal="center" vertical="center"/>
    </xf>
    <xf numFmtId="1" fontId="2" fillId="10" borderId="8" xfId="7" applyNumberFormat="1" applyFill="1" applyBorder="1" applyAlignment="1">
      <alignment horizontal="center" vertical="center"/>
    </xf>
    <xf numFmtId="0" fontId="9" fillId="10" borderId="0" xfId="7" applyFont="1" applyFill="1"/>
    <xf numFmtId="0" fontId="16" fillId="10" borderId="1" xfId="7" applyFont="1" applyFill="1" applyBorder="1" applyAlignment="1">
      <alignment horizontal="center" vertical="center"/>
    </xf>
    <xf numFmtId="3" fontId="0" fillId="10" borderId="5" xfId="8" applyNumberFormat="1" applyFont="1" applyFill="1" applyBorder="1" applyAlignment="1">
      <alignment horizontal="center" vertical="center"/>
    </xf>
    <xf numFmtId="3" fontId="0" fillId="0" borderId="6" xfId="8" applyNumberFormat="1" applyFont="1" applyBorder="1" applyAlignment="1">
      <alignment horizontal="center"/>
    </xf>
    <xf numFmtId="3" fontId="0" fillId="0" borderId="14" xfId="8" applyNumberFormat="1" applyFont="1" applyBorder="1" applyAlignment="1">
      <alignment horizontal="center"/>
    </xf>
    <xf numFmtId="3" fontId="0" fillId="0" borderId="1" xfId="8" applyNumberFormat="1" applyFont="1" applyBorder="1" applyAlignment="1">
      <alignment horizontal="center" vertical="center"/>
    </xf>
    <xf numFmtId="3" fontId="0" fillId="0" borderId="3" xfId="8" applyNumberFormat="1" applyFont="1" applyBorder="1" applyAlignment="1">
      <alignment horizontal="center" vertical="center"/>
    </xf>
    <xf numFmtId="3" fontId="0" fillId="0" borderId="3" xfId="8" applyNumberFormat="1" applyFont="1" applyBorder="1"/>
    <xf numFmtId="3" fontId="0" fillId="0" borderId="18" xfId="8" applyNumberFormat="1" applyFont="1" applyBorder="1" applyAlignment="1">
      <alignment horizontal="center"/>
    </xf>
    <xf numFmtId="3" fontId="0" fillId="14" borderId="20" xfId="8" applyNumberFormat="1" applyFont="1" applyFill="1" applyBorder="1" applyAlignment="1">
      <alignment horizontal="center" vertical="center"/>
    </xf>
    <xf numFmtId="3" fontId="0" fillId="14" borderId="21" xfId="8" applyNumberFormat="1" applyFont="1" applyFill="1" applyBorder="1" applyAlignment="1">
      <alignment horizontal="center" vertical="center"/>
    </xf>
    <xf numFmtId="3" fontId="0" fillId="0" borderId="5" xfId="8" applyNumberFormat="1" applyFont="1" applyBorder="1" applyAlignment="1">
      <alignment horizontal="center"/>
    </xf>
    <xf numFmtId="3" fontId="0" fillId="0" borderId="5" xfId="8" applyNumberFormat="1" applyFont="1" applyBorder="1" applyAlignment="1">
      <alignment horizontal="center" vertical="center"/>
    </xf>
    <xf numFmtId="3" fontId="0" fillId="10" borderId="14" xfId="8" applyNumberFormat="1" applyFont="1" applyFill="1" applyBorder="1" applyAlignment="1">
      <alignment horizontal="center" vertical="center"/>
    </xf>
    <xf numFmtId="17" fontId="2" fillId="10" borderId="8" xfId="7" applyNumberFormat="1" applyFill="1" applyBorder="1" applyAlignment="1">
      <alignment horizontal="center" vertical="center"/>
    </xf>
    <xf numFmtId="3" fontId="0" fillId="10" borderId="9" xfId="8" applyNumberFormat="1" applyFont="1" applyFill="1" applyBorder="1" applyAlignment="1">
      <alignment horizontal="center" vertical="center"/>
    </xf>
    <xf numFmtId="3" fontId="0" fillId="10" borderId="13" xfId="8" applyNumberFormat="1" applyFont="1" applyFill="1" applyBorder="1" applyAlignment="1">
      <alignment horizontal="center" vertical="center"/>
    </xf>
    <xf numFmtId="3" fontId="0" fillId="10" borderId="23" xfId="8" applyNumberFormat="1" applyFont="1" applyFill="1" applyBorder="1" applyAlignment="1">
      <alignment horizontal="center" vertical="center"/>
    </xf>
    <xf numFmtId="3" fontId="0" fillId="10" borderId="24" xfId="8" applyNumberFormat="1" applyFont="1" applyFill="1" applyBorder="1" applyAlignment="1">
      <alignment horizontal="center" vertical="center"/>
    </xf>
    <xf numFmtId="3" fontId="0" fillId="0" borderId="9" xfId="8" applyNumberFormat="1" applyFont="1" applyBorder="1" applyAlignment="1">
      <alignment horizontal="center" vertical="center"/>
    </xf>
    <xf numFmtId="3" fontId="0" fillId="0" borderId="9" xfId="8" applyNumberFormat="1" applyFont="1" applyBorder="1"/>
    <xf numFmtId="3" fontId="0" fillId="0" borderId="13" xfId="8" applyNumberFormat="1" applyFont="1" applyBorder="1" applyAlignment="1">
      <alignment horizontal="center"/>
    </xf>
    <xf numFmtId="3" fontId="0" fillId="0" borderId="23" xfId="8" applyNumberFormat="1" applyFont="1" applyBorder="1" applyAlignment="1">
      <alignment horizontal="center"/>
    </xf>
    <xf numFmtId="3" fontId="0" fillId="0" borderId="23" xfId="8" applyNumberFormat="1" applyFont="1" applyBorder="1" applyAlignment="1">
      <alignment horizontal="center" vertical="center"/>
    </xf>
    <xf numFmtId="3" fontId="0" fillId="0" borderId="24" xfId="8" applyNumberFormat="1" applyFont="1" applyBorder="1"/>
    <xf numFmtId="3" fontId="0" fillId="0" borderId="14" xfId="8" applyNumberFormat="1" applyFont="1" applyBorder="1"/>
    <xf numFmtId="3" fontId="0" fillId="0" borderId="18" xfId="8" applyNumberFormat="1" applyFont="1" applyBorder="1"/>
    <xf numFmtId="3" fontId="0" fillId="0" borderId="6" xfId="8" applyNumberFormat="1" applyFont="1" applyBorder="1"/>
    <xf numFmtId="3" fontId="0" fillId="0" borderId="13" xfId="8" applyNumberFormat="1" applyFont="1" applyBorder="1"/>
    <xf numFmtId="3" fontId="0" fillId="14" borderId="26" xfId="8" applyNumberFormat="1" applyFont="1" applyFill="1" applyBorder="1" applyAlignment="1">
      <alignment horizontal="center" vertical="center"/>
    </xf>
    <xf numFmtId="3" fontId="0" fillId="14" borderId="27" xfId="8" applyNumberFormat="1" applyFont="1" applyFill="1" applyBorder="1" applyAlignment="1">
      <alignment horizontal="center" vertical="center"/>
    </xf>
    <xf numFmtId="3" fontId="0" fillId="0" borderId="5" xfId="8" applyNumberFormat="1" applyFont="1" applyFill="1" applyBorder="1" applyAlignment="1">
      <alignment horizontal="center"/>
    </xf>
    <xf numFmtId="3" fontId="0" fillId="0" borderId="6" xfId="8" applyNumberFormat="1" applyFont="1" applyFill="1" applyBorder="1" applyAlignment="1">
      <alignment horizontal="center"/>
    </xf>
    <xf numFmtId="3" fontId="0" fillId="0" borderId="1" xfId="8" applyNumberFormat="1" applyFont="1" applyFill="1" applyBorder="1" applyAlignment="1">
      <alignment horizontal="center"/>
    </xf>
    <xf numFmtId="3" fontId="0" fillId="0" borderId="14" xfId="8" applyNumberFormat="1" applyFont="1" applyFill="1" applyBorder="1" applyAlignment="1">
      <alignment horizontal="center"/>
    </xf>
    <xf numFmtId="3" fontId="0" fillId="0" borderId="9" xfId="8" applyNumberFormat="1" applyFont="1" applyFill="1" applyBorder="1" applyAlignment="1">
      <alignment horizontal="center"/>
    </xf>
    <xf numFmtId="3" fontId="0" fillId="0" borderId="13" xfId="8" applyNumberFormat="1" applyFont="1" applyFill="1" applyBorder="1" applyAlignment="1">
      <alignment horizontal="center"/>
    </xf>
    <xf numFmtId="3" fontId="16" fillId="10" borderId="1" xfId="8" applyNumberFormat="1" applyFont="1" applyFill="1" applyBorder="1" applyAlignment="1">
      <alignment horizontal="center" vertical="center"/>
    </xf>
    <xf numFmtId="2" fontId="11" fillId="9" borderId="5" xfId="7" applyNumberFormat="1" applyFont="1" applyFill="1" applyBorder="1" applyAlignment="1">
      <alignment horizontal="center" vertical="center"/>
    </xf>
    <xf numFmtId="1" fontId="11" fillId="9" borderId="5" xfId="7" applyNumberFormat="1" applyFont="1" applyFill="1" applyBorder="1" applyAlignment="1">
      <alignment horizontal="center" vertical="center"/>
    </xf>
    <xf numFmtId="14" fontId="11" fillId="9" borderId="5" xfId="7" applyNumberFormat="1" applyFont="1" applyFill="1" applyBorder="1" applyAlignment="1">
      <alignment horizontal="center" vertical="center"/>
    </xf>
    <xf numFmtId="0" fontId="13" fillId="11" borderId="10" xfId="7" applyFont="1" applyFill="1" applyBorder="1" applyAlignment="1">
      <alignment horizontal="center" vertical="center"/>
    </xf>
    <xf numFmtId="0" fontId="14" fillId="12" borderId="10" xfId="7" applyFont="1" applyFill="1" applyBorder="1" applyAlignment="1">
      <alignment vertical="center"/>
    </xf>
    <xf numFmtId="0" fontId="14" fillId="12" borderId="11" xfId="7" applyFont="1" applyFill="1" applyBorder="1" applyAlignment="1">
      <alignment vertical="center"/>
    </xf>
    <xf numFmtId="0" fontId="14" fillId="12" borderId="29" xfId="7" applyFont="1" applyFill="1" applyBorder="1" applyAlignment="1">
      <alignment vertical="center"/>
    </xf>
    <xf numFmtId="0" fontId="23" fillId="0" borderId="0" xfId="7" applyFont="1" applyAlignment="1">
      <alignment horizontal="center"/>
    </xf>
    <xf numFmtId="0" fontId="23" fillId="10" borderId="0" xfId="7" applyFont="1" applyFill="1"/>
    <xf numFmtId="0" fontId="11" fillId="0" borderId="0" xfId="7" applyFont="1"/>
    <xf numFmtId="0" fontId="18" fillId="10" borderId="1" xfId="7" applyFont="1" applyFill="1" applyBorder="1" applyAlignment="1">
      <alignment horizontal="center" vertical="center"/>
    </xf>
    <xf numFmtId="3" fontId="18" fillId="10" borderId="1" xfId="8" applyNumberFormat="1" applyFont="1" applyFill="1" applyBorder="1" applyAlignment="1">
      <alignment horizontal="center" vertical="center"/>
    </xf>
    <xf numFmtId="0" fontId="23" fillId="10" borderId="0" xfId="7" applyFont="1" applyFill="1" applyAlignment="1">
      <alignment horizontal="left" vertical="center"/>
    </xf>
    <xf numFmtId="0" fontId="23" fillId="10" borderId="0" xfId="7" applyFont="1" applyFill="1" applyAlignment="1">
      <alignment horizontal="center"/>
    </xf>
    <xf numFmtId="0" fontId="23" fillId="0" borderId="0" xfId="7" applyFont="1"/>
    <xf numFmtId="0" fontId="23" fillId="10" borderId="0" xfId="7" applyFont="1" applyFill="1" applyAlignment="1">
      <alignment horizontal="center" vertical="center"/>
    </xf>
    <xf numFmtId="0" fontId="1" fillId="10" borderId="0" xfId="7" applyFont="1" applyFill="1"/>
    <xf numFmtId="0" fontId="27" fillId="0" borderId="0" xfId="0" applyFont="1"/>
    <xf numFmtId="0" fontId="0" fillId="0" borderId="0" xfId="0" applyAlignment="1">
      <alignment horizontal="left"/>
    </xf>
    <xf numFmtId="14" fontId="28" fillId="0" borderId="0" xfId="0" applyNumberFormat="1" applyFont="1"/>
    <xf numFmtId="0" fontId="28" fillId="0" borderId="0" xfId="0" applyFont="1"/>
    <xf numFmtId="0" fontId="29" fillId="0" borderId="0" xfId="0" applyFont="1"/>
    <xf numFmtId="10" fontId="30" fillId="0" borderId="0" xfId="6" applyNumberFormat="1" applyFont="1"/>
    <xf numFmtId="0" fontId="24" fillId="16" borderId="0" xfId="0" applyFont="1" applyFill="1" applyAlignment="1">
      <alignment vertical="center" wrapText="1"/>
    </xf>
    <xf numFmtId="0" fontId="24" fillId="16" borderId="0" xfId="0" applyFont="1" applyFill="1" applyAlignment="1">
      <alignment horizontal="center" vertical="center" wrapText="1"/>
    </xf>
    <xf numFmtId="14" fontId="25" fillId="15" borderId="0" xfId="7" applyNumberFormat="1" applyFont="1" applyFill="1" applyAlignment="1">
      <alignment horizontal="center" vertical="center"/>
    </xf>
    <xf numFmtId="0" fontId="14" fillId="13" borderId="25" xfId="7" applyFont="1" applyFill="1" applyBorder="1" applyAlignment="1">
      <alignment horizontal="center" vertical="center"/>
    </xf>
    <xf numFmtId="0" fontId="14" fillId="13" borderId="26" xfId="7" applyFont="1" applyFill="1" applyBorder="1" applyAlignment="1">
      <alignment horizontal="center" vertical="center"/>
    </xf>
    <xf numFmtId="0" fontId="14" fillId="13" borderId="27" xfId="7" applyFont="1" applyFill="1" applyBorder="1" applyAlignment="1">
      <alignment horizontal="center" vertical="center"/>
    </xf>
    <xf numFmtId="0" fontId="31" fillId="6" borderId="0" xfId="0" applyFont="1" applyFill="1" applyAlignment="1">
      <alignment horizontal="center" vertical="center"/>
    </xf>
    <xf numFmtId="0" fontId="31" fillId="6" borderId="0" xfId="0" applyFont="1" applyFill="1" applyAlignment="1">
      <alignment horizontal="left" vertical="center"/>
    </xf>
    <xf numFmtId="0" fontId="31" fillId="6" borderId="0" xfId="0" applyFont="1" applyFill="1" applyAlignment="1">
      <alignment vertical="center"/>
    </xf>
    <xf numFmtId="0" fontId="32" fillId="0" borderId="0" xfId="0" applyFont="1" applyAlignment="1">
      <alignment vertical="center"/>
    </xf>
    <xf numFmtId="0" fontId="32" fillId="0" borderId="0" xfId="0" applyFont="1" applyAlignment="1">
      <alignment horizontal="center" vertical="center"/>
    </xf>
    <xf numFmtId="0" fontId="32" fillId="0" borderId="0" xfId="0" applyFont="1" applyAlignment="1">
      <alignment horizontal="left" vertical="center"/>
    </xf>
    <xf numFmtId="0" fontId="33" fillId="16" borderId="4" xfId="0" applyFont="1" applyFill="1" applyBorder="1" applyAlignment="1">
      <alignment vertical="center" wrapText="1"/>
    </xf>
    <xf numFmtId="0" fontId="33" fillId="16" borderId="5" xfId="0" applyFont="1" applyFill="1" applyBorder="1" applyAlignment="1">
      <alignment vertical="center" wrapText="1"/>
    </xf>
    <xf numFmtId="0" fontId="33" fillId="16" borderId="5" xfId="0" applyFont="1" applyFill="1" applyBorder="1" applyAlignment="1">
      <alignment horizontal="center" vertical="center" wrapText="1"/>
    </xf>
    <xf numFmtId="14" fontId="34" fillId="15" borderId="6" xfId="7" applyNumberFormat="1" applyFont="1" applyFill="1" applyBorder="1" applyAlignment="1">
      <alignment horizontal="center" vertical="center"/>
    </xf>
    <xf numFmtId="0" fontId="33" fillId="16" borderId="7" xfId="0" applyFont="1" applyFill="1" applyBorder="1" applyAlignment="1">
      <alignment vertical="center" wrapText="1"/>
    </xf>
    <xf numFmtId="0" fontId="33" fillId="16" borderId="1" xfId="0" applyFont="1" applyFill="1" applyBorder="1" applyAlignment="1">
      <alignment vertical="center" wrapText="1"/>
    </xf>
    <xf numFmtId="0" fontId="33" fillId="16" borderId="1" xfId="0" applyFont="1" applyFill="1" applyBorder="1" applyAlignment="1">
      <alignment horizontal="center" vertical="center" wrapText="1"/>
    </xf>
    <xf numFmtId="14" fontId="34" fillId="15" borderId="14" xfId="7" applyNumberFormat="1" applyFont="1" applyFill="1" applyBorder="1" applyAlignment="1">
      <alignment horizontal="center" vertical="center"/>
    </xf>
    <xf numFmtId="0" fontId="33" fillId="16" borderId="8" xfId="0" applyFont="1" applyFill="1" applyBorder="1" applyAlignment="1">
      <alignment vertical="center" wrapText="1"/>
    </xf>
    <xf numFmtId="0" fontId="33" fillId="16" borderId="9" xfId="0" applyFont="1" applyFill="1" applyBorder="1" applyAlignment="1">
      <alignment vertical="center" wrapText="1"/>
    </xf>
    <xf numFmtId="0" fontId="33" fillId="16" borderId="9" xfId="0" applyFont="1" applyFill="1" applyBorder="1" applyAlignment="1">
      <alignment horizontal="center" vertical="center" wrapText="1"/>
    </xf>
    <xf numFmtId="14" fontId="34" fillId="15" borderId="13" xfId="7" applyNumberFormat="1" applyFont="1" applyFill="1" applyBorder="1" applyAlignment="1">
      <alignment horizontal="center" vertical="center"/>
    </xf>
    <xf numFmtId="0" fontId="35" fillId="6" borderId="0" xfId="0" applyFont="1" applyFill="1" applyAlignment="1">
      <alignment horizontal="left" vertical="center"/>
    </xf>
    <xf numFmtId="0" fontId="36" fillId="0" borderId="39" xfId="1" applyFont="1" applyFill="1" applyBorder="1" applyAlignment="1">
      <alignment horizontal="center" vertical="center" wrapText="1"/>
    </xf>
    <xf numFmtId="0" fontId="36" fillId="0" borderId="23" xfId="1" applyFont="1" applyFill="1" applyBorder="1" applyAlignment="1">
      <alignment horizontal="center" vertical="center" wrapText="1"/>
    </xf>
    <xf numFmtId="0" fontId="37" fillId="0" borderId="23" xfId="1" applyFont="1" applyFill="1" applyBorder="1" applyAlignment="1">
      <alignment horizontal="center" vertical="center" wrapText="1"/>
    </xf>
    <xf numFmtId="0" fontId="36" fillId="0" borderId="0" xfId="0" applyFont="1" applyAlignment="1">
      <alignment vertical="center"/>
    </xf>
    <xf numFmtId="0" fontId="37" fillId="5" borderId="1" xfId="1" applyFont="1" applyFill="1" applyBorder="1" applyAlignment="1">
      <alignment vertical="center"/>
    </xf>
    <xf numFmtId="14" fontId="36" fillId="0" borderId="1" xfId="3" applyNumberFormat="1" applyFont="1" applyFill="1" applyBorder="1" applyAlignment="1">
      <alignment horizontal="center" vertical="center"/>
    </xf>
    <xf numFmtId="0" fontId="36" fillId="0" borderId="0" xfId="0" applyFont="1" applyAlignment="1">
      <alignment horizontal="center" vertical="center"/>
    </xf>
    <xf numFmtId="0" fontId="38" fillId="0" borderId="41" xfId="2" applyFont="1" applyFill="1" applyBorder="1" applyAlignment="1">
      <alignment horizontal="center" vertical="center"/>
    </xf>
    <xf numFmtId="0" fontId="38" fillId="0" borderId="1" xfId="2" applyFont="1" applyFill="1" applyBorder="1" applyAlignment="1">
      <alignment horizontal="center" vertical="center"/>
    </xf>
    <xf numFmtId="165" fontId="38" fillId="0" borderId="1" xfId="2" applyNumberFormat="1" applyFont="1" applyFill="1" applyBorder="1" applyAlignment="1">
      <alignment horizontal="center" vertical="center"/>
    </xf>
    <xf numFmtId="0" fontId="38" fillId="0" borderId="1" xfId="0" applyFont="1" applyBorder="1" applyAlignment="1">
      <alignment horizontal="left" vertical="center" wrapText="1"/>
    </xf>
    <xf numFmtId="0" fontId="38" fillId="0" borderId="1" xfId="2" applyFont="1" applyFill="1" applyBorder="1" applyAlignment="1">
      <alignment horizontal="left" vertical="center"/>
    </xf>
    <xf numFmtId="14" fontId="38" fillId="8" borderId="1" xfId="2" applyNumberFormat="1" applyFont="1" applyFill="1" applyBorder="1" applyAlignment="1">
      <alignment horizontal="center" vertical="center"/>
    </xf>
    <xf numFmtId="0" fontId="38" fillId="0" borderId="1" xfId="0" applyFont="1" applyBorder="1" applyAlignment="1">
      <alignment horizontal="center" vertical="center"/>
    </xf>
    <xf numFmtId="0" fontId="38" fillId="19" borderId="1" xfId="2" applyFont="1" applyFill="1" applyBorder="1" applyAlignment="1">
      <alignment horizontal="center" vertical="center"/>
    </xf>
    <xf numFmtId="14" fontId="38" fillId="0" borderId="1" xfId="2" applyNumberFormat="1" applyFont="1" applyFill="1" applyBorder="1" applyAlignment="1">
      <alignment horizontal="center" vertical="center" wrapText="1"/>
    </xf>
    <xf numFmtId="0" fontId="38" fillId="0" borderId="42" xfId="0" applyFont="1" applyBorder="1" applyAlignment="1">
      <alignment horizontal="center" vertical="center"/>
    </xf>
    <xf numFmtId="10" fontId="38" fillId="0" borderId="42" xfId="0" applyNumberFormat="1" applyFont="1" applyBorder="1" applyAlignment="1">
      <alignment vertical="center"/>
    </xf>
    <xf numFmtId="0" fontId="38" fillId="0" borderId="0" xfId="0" applyFont="1" applyAlignment="1">
      <alignment vertical="center"/>
    </xf>
    <xf numFmtId="0" fontId="38" fillId="0" borderId="0" xfId="0" applyFont="1" applyAlignment="1">
      <alignment horizontal="center" vertical="center"/>
    </xf>
    <xf numFmtId="0" fontId="38" fillId="0" borderId="1" xfId="2" applyFont="1" applyFill="1" applyBorder="1" applyAlignment="1">
      <alignment horizontal="left" vertical="center" wrapText="1"/>
    </xf>
    <xf numFmtId="0" fontId="40" fillId="0" borderId="1" xfId="4" applyFont="1" applyBorder="1" applyAlignment="1">
      <alignment vertical="center" wrapText="1"/>
    </xf>
    <xf numFmtId="0" fontId="38" fillId="0" borderId="42" xfId="0" applyFont="1" applyBorder="1" applyAlignment="1">
      <alignment vertical="center"/>
    </xf>
    <xf numFmtId="164" fontId="38" fillId="7" borderId="1" xfId="2" applyNumberFormat="1" applyFont="1" applyFill="1" applyBorder="1" applyAlignment="1">
      <alignment horizontal="center" vertical="center"/>
    </xf>
    <xf numFmtId="0" fontId="38" fillId="18" borderId="1" xfId="2" applyFont="1" applyFill="1" applyBorder="1" applyAlignment="1">
      <alignment horizontal="center" vertical="center"/>
    </xf>
    <xf numFmtId="0" fontId="39" fillId="0" borderId="42" xfId="0" applyFont="1" applyBorder="1" applyAlignment="1">
      <alignment vertical="center"/>
    </xf>
    <xf numFmtId="14" fontId="38" fillId="0" borderId="1" xfId="0" applyNumberFormat="1" applyFont="1" applyBorder="1" applyAlignment="1">
      <alignment horizontal="center" vertical="center" wrapText="1"/>
    </xf>
    <xf numFmtId="0" fontId="40" fillId="0" borderId="42" xfId="4" applyFont="1" applyBorder="1" applyAlignment="1">
      <alignment vertical="center"/>
    </xf>
    <xf numFmtId="0" fontId="38" fillId="0" borderId="0" xfId="0" applyFont="1" applyAlignment="1">
      <alignment vertical="center" wrapText="1"/>
    </xf>
    <xf numFmtId="0" fontId="38" fillId="0" borderId="1" xfId="0" applyFont="1" applyBorder="1" applyAlignment="1">
      <alignment horizontal="left" vertical="center"/>
    </xf>
    <xf numFmtId="0" fontId="38" fillId="0" borderId="1" xfId="0" applyFont="1" applyBorder="1" applyAlignment="1">
      <alignment horizontal="center" vertical="center" wrapText="1"/>
    </xf>
    <xf numFmtId="10" fontId="39" fillId="0" borderId="42" xfId="0" applyNumberFormat="1" applyFont="1" applyBorder="1" applyAlignment="1">
      <alignment vertical="center" wrapText="1"/>
    </xf>
    <xf numFmtId="14" fontId="38" fillId="0" borderId="1" xfId="0" applyNumberFormat="1" applyFont="1" applyBorder="1" applyAlignment="1">
      <alignment horizontal="center" vertical="center"/>
    </xf>
    <xf numFmtId="0" fontId="40" fillId="0" borderId="1" xfId="5" applyFont="1" applyBorder="1" applyAlignment="1">
      <alignment horizontal="left" vertical="center" wrapText="1"/>
    </xf>
    <xf numFmtId="0" fontId="38" fillId="0" borderId="1" xfId="2" applyNumberFormat="1" applyFont="1" applyFill="1" applyBorder="1" applyAlignment="1">
      <alignment horizontal="center" vertical="center"/>
    </xf>
    <xf numFmtId="0" fontId="38" fillId="0" borderId="41" xfId="2" applyNumberFormat="1" applyFont="1" applyFill="1" applyBorder="1" applyAlignment="1">
      <alignment horizontal="center" vertical="center"/>
    </xf>
    <xf numFmtId="0" fontId="40" fillId="0" borderId="1" xfId="5" applyFont="1" applyBorder="1" applyAlignment="1">
      <alignment vertical="center"/>
    </xf>
    <xf numFmtId="164" fontId="38" fillId="7" borderId="41" xfId="2" applyNumberFormat="1" applyFont="1" applyFill="1" applyBorder="1" applyAlignment="1">
      <alignment horizontal="center" vertical="center"/>
    </xf>
    <xf numFmtId="0" fontId="38" fillId="0" borderId="42" xfId="0" applyFont="1" applyBorder="1" applyAlignment="1">
      <alignment vertical="center" wrapText="1"/>
    </xf>
    <xf numFmtId="165" fontId="38" fillId="0" borderId="41" xfId="2" applyNumberFormat="1" applyFont="1" applyFill="1" applyBorder="1" applyAlignment="1">
      <alignment horizontal="center" vertical="center"/>
    </xf>
    <xf numFmtId="0" fontId="38" fillId="0" borderId="1" xfId="2" applyFont="1" applyFill="1" applyBorder="1" applyAlignment="1">
      <alignment horizontal="center" vertical="center" wrapText="1"/>
    </xf>
    <xf numFmtId="14" fontId="38" fillId="0" borderId="1" xfId="2" applyNumberFormat="1" applyFont="1" applyFill="1" applyBorder="1" applyAlignment="1">
      <alignment horizontal="center" vertical="center"/>
    </xf>
    <xf numFmtId="0" fontId="39" fillId="0" borderId="1" xfId="4" applyFont="1" applyBorder="1" applyAlignment="1">
      <alignment horizontal="center" vertical="center"/>
    </xf>
    <xf numFmtId="164" fontId="38" fillId="8" borderId="1" xfId="2" applyNumberFormat="1" applyFont="1" applyFill="1" applyBorder="1" applyAlignment="1">
      <alignment horizontal="center" vertical="center"/>
    </xf>
    <xf numFmtId="10" fontId="38" fillId="0" borderId="1" xfId="0" applyNumberFormat="1" applyFont="1" applyBorder="1" applyAlignment="1">
      <alignment horizontal="center" vertical="center"/>
    </xf>
    <xf numFmtId="0" fontId="37" fillId="0" borderId="39" xfId="1" applyFont="1" applyFill="1" applyBorder="1" applyAlignment="1">
      <alignment horizontal="center" vertical="center" wrapText="1"/>
    </xf>
    <xf numFmtId="0" fontId="37" fillId="0" borderId="40" xfId="1" applyFont="1" applyFill="1" applyBorder="1" applyAlignment="1">
      <alignment horizontal="center" vertical="center" wrapText="1"/>
    </xf>
    <xf numFmtId="0" fontId="37" fillId="0" borderId="0" xfId="0" applyFont="1" applyAlignment="1">
      <alignment vertical="center"/>
    </xf>
    <xf numFmtId="14" fontId="37" fillId="0" borderId="1" xfId="3" applyNumberFormat="1" applyFont="1" applyFill="1" applyBorder="1" applyAlignment="1">
      <alignment horizontal="center" vertical="center"/>
    </xf>
    <xf numFmtId="0" fontId="37" fillId="0" borderId="0" xfId="0" applyFont="1" applyAlignment="1">
      <alignment horizontal="center" vertical="center"/>
    </xf>
    <xf numFmtId="0" fontId="42" fillId="6" borderId="0" xfId="0" applyFont="1" applyFill="1" applyAlignment="1">
      <alignment horizontal="left" vertical="center"/>
    </xf>
    <xf numFmtId="0" fontId="36" fillId="6" borderId="0" xfId="0" applyFont="1" applyFill="1" applyAlignment="1">
      <alignment horizontal="center" vertical="center"/>
    </xf>
    <xf numFmtId="0" fontId="36" fillId="6" borderId="0" xfId="0" applyFont="1" applyFill="1" applyAlignment="1">
      <alignment horizontal="left" vertical="center"/>
    </xf>
    <xf numFmtId="0" fontId="36" fillId="6" borderId="0" xfId="0" applyFont="1" applyFill="1" applyAlignment="1">
      <alignment vertical="center"/>
    </xf>
    <xf numFmtId="0" fontId="38" fillId="0" borderId="0" xfId="0" applyFont="1" applyAlignment="1">
      <alignment horizontal="left" vertical="center"/>
    </xf>
    <xf numFmtId="0" fontId="43" fillId="0" borderId="0" xfId="0" applyFont="1" applyAlignment="1">
      <alignment vertical="center"/>
    </xf>
    <xf numFmtId="0" fontId="43" fillId="0" borderId="0" xfId="0" applyFont="1" applyAlignment="1">
      <alignment horizontal="center" vertical="center"/>
    </xf>
    <xf numFmtId="0" fontId="43" fillId="0" borderId="42" xfId="0" applyFont="1" applyBorder="1" applyAlignment="1">
      <alignment vertical="center"/>
    </xf>
    <xf numFmtId="0" fontId="41" fillId="0" borderId="1" xfId="4" applyFont="1" applyBorder="1" applyAlignment="1">
      <alignment vertical="center" wrapText="1"/>
    </xf>
    <xf numFmtId="0" fontId="44" fillId="18" borderId="1" xfId="0" applyFont="1" applyFill="1" applyBorder="1" applyAlignment="1">
      <alignment horizontal="center" vertical="center"/>
    </xf>
    <xf numFmtId="0" fontId="38" fillId="19" borderId="0" xfId="2" applyFont="1" applyFill="1" applyBorder="1" applyAlignment="1">
      <alignment horizontal="center" vertical="center"/>
    </xf>
    <xf numFmtId="0" fontId="38" fillId="20" borderId="41" xfId="2" applyFont="1" applyFill="1" applyBorder="1" applyAlignment="1">
      <alignment horizontal="center" vertical="center"/>
    </xf>
    <xf numFmtId="0" fontId="38" fillId="20" borderId="1" xfId="2" applyFont="1" applyFill="1" applyBorder="1" applyAlignment="1">
      <alignment horizontal="center" vertical="center"/>
    </xf>
    <xf numFmtId="0" fontId="38" fillId="20" borderId="1" xfId="0" applyFont="1" applyFill="1" applyBorder="1" applyAlignment="1">
      <alignment horizontal="center" vertical="center"/>
    </xf>
    <xf numFmtId="0" fontId="0" fillId="21" borderId="0" xfId="0" applyFill="1"/>
    <xf numFmtId="0" fontId="38" fillId="20" borderId="1" xfId="2" applyFont="1" applyFill="1" applyBorder="1" applyAlignment="1">
      <alignment horizontal="center" vertical="center" wrapText="1"/>
    </xf>
    <xf numFmtId="0" fontId="45" fillId="19" borderId="1" xfId="2" applyFont="1" applyFill="1" applyBorder="1" applyAlignment="1">
      <alignment horizontal="center" vertical="center"/>
    </xf>
    <xf numFmtId="0" fontId="46" fillId="18" borderId="1" xfId="0" applyFont="1" applyFill="1" applyBorder="1" applyAlignment="1">
      <alignment horizontal="center" vertical="center"/>
    </xf>
    <xf numFmtId="1" fontId="0" fillId="0" borderId="0" xfId="0" applyNumberFormat="1"/>
    <xf numFmtId="0" fontId="38" fillId="0" borderId="42" xfId="2" applyNumberFormat="1" applyFont="1" applyFill="1" applyBorder="1" applyAlignment="1">
      <alignment horizontal="center" vertical="center"/>
    </xf>
    <xf numFmtId="0" fontId="38" fillId="18" borderId="1" xfId="0" applyFont="1" applyFill="1" applyBorder="1" applyAlignment="1">
      <alignment horizontal="center" vertical="center"/>
    </xf>
    <xf numFmtId="0" fontId="38" fillId="20" borderId="41" xfId="2" applyNumberFormat="1" applyFont="1" applyFill="1" applyBorder="1" applyAlignment="1">
      <alignment horizontal="center" vertical="center"/>
    </xf>
    <xf numFmtId="0" fontId="45" fillId="20" borderId="41" xfId="2" applyFont="1" applyFill="1" applyBorder="1" applyAlignment="1">
      <alignment horizontal="center" vertical="center"/>
    </xf>
    <xf numFmtId="0" fontId="45" fillId="20" borderId="1" xfId="2" applyFont="1" applyFill="1" applyBorder="1" applyAlignment="1">
      <alignment horizontal="center" vertical="center"/>
    </xf>
    <xf numFmtId="0" fontId="45" fillId="18" borderId="1" xfId="2" applyFont="1" applyFill="1" applyBorder="1" applyAlignment="1">
      <alignment horizontal="center" vertical="center"/>
    </xf>
    <xf numFmtId="0" fontId="39" fillId="0" borderId="1" xfId="0" applyFont="1" applyBorder="1" applyAlignment="1">
      <alignment horizontal="center" vertical="center"/>
    </xf>
    <xf numFmtId="0" fontId="45" fillId="0" borderId="0" xfId="0" applyFont="1" applyAlignment="1">
      <alignment horizontal="center" vertical="center"/>
    </xf>
    <xf numFmtId="0" fontId="45" fillId="20" borderId="0" xfId="2" applyFont="1" applyFill="1" applyAlignment="1">
      <alignment horizontal="center" vertical="center"/>
    </xf>
    <xf numFmtId="164" fontId="45" fillId="8" borderId="1" xfId="2" applyNumberFormat="1" applyFont="1" applyFill="1" applyBorder="1" applyAlignment="1">
      <alignment horizontal="center" vertical="center"/>
    </xf>
    <xf numFmtId="14" fontId="45" fillId="0" borderId="1" xfId="0" applyNumberFormat="1" applyFont="1" applyBorder="1" applyAlignment="1">
      <alignment horizontal="center" vertical="center" wrapText="1"/>
    </xf>
    <xf numFmtId="3" fontId="2" fillId="0" borderId="36" xfId="7" applyNumberFormat="1" applyBorder="1" applyAlignment="1">
      <alignment horizontal="center"/>
    </xf>
    <xf numFmtId="0" fontId="2" fillId="0" borderId="37" xfId="7" applyBorder="1" applyAlignment="1">
      <alignment horizontal="center"/>
    </xf>
    <xf numFmtId="0" fontId="2" fillId="0" borderId="38" xfId="7" applyBorder="1" applyAlignment="1">
      <alignment horizontal="center"/>
    </xf>
    <xf numFmtId="3" fontId="16" fillId="0" borderId="31" xfId="7" applyNumberFormat="1" applyFont="1" applyBorder="1" applyAlignment="1">
      <alignment horizontal="center"/>
    </xf>
    <xf numFmtId="0" fontId="16" fillId="0" borderId="32" xfId="7" applyFont="1" applyBorder="1" applyAlignment="1">
      <alignment horizontal="center"/>
    </xf>
    <xf numFmtId="0" fontId="16" fillId="0" borderId="33" xfId="7" applyFont="1" applyBorder="1" applyAlignment="1">
      <alignment horizontal="center"/>
    </xf>
    <xf numFmtId="0" fontId="16" fillId="0" borderId="34" xfId="7" applyFont="1" applyBorder="1" applyAlignment="1">
      <alignment horizontal="center"/>
    </xf>
    <xf numFmtId="0" fontId="16" fillId="0" borderId="35" xfId="7" applyFont="1" applyBorder="1" applyAlignment="1">
      <alignment horizontal="center"/>
    </xf>
    <xf numFmtId="3" fontId="16" fillId="0" borderId="36" xfId="7" applyNumberFormat="1" applyFont="1" applyBorder="1" applyAlignment="1">
      <alignment horizontal="center"/>
    </xf>
    <xf numFmtId="0" fontId="16" fillId="0" borderId="37" xfId="7" applyFont="1" applyBorder="1" applyAlignment="1">
      <alignment horizontal="center"/>
    </xf>
    <xf numFmtId="0" fontId="16" fillId="0" borderId="38" xfId="7" applyFont="1" applyBorder="1" applyAlignment="1">
      <alignment horizontal="center"/>
    </xf>
    <xf numFmtId="3" fontId="21" fillId="10" borderId="1" xfId="7" applyNumberFormat="1" applyFont="1" applyFill="1" applyBorder="1" applyAlignment="1">
      <alignment horizontal="center"/>
    </xf>
    <xf numFmtId="3" fontId="26" fillId="10" borderId="1" xfId="7" applyNumberFormat="1" applyFont="1" applyFill="1" applyBorder="1" applyAlignment="1">
      <alignment horizontal="center"/>
    </xf>
    <xf numFmtId="0" fontId="20" fillId="14" borderId="1" xfId="7" applyFont="1" applyFill="1" applyBorder="1" applyAlignment="1">
      <alignment horizontal="center" vertical="center"/>
    </xf>
    <xf numFmtId="0" fontId="15" fillId="0" borderId="0" xfId="7" applyFont="1" applyAlignment="1">
      <alignment horizontal="center"/>
    </xf>
    <xf numFmtId="2" fontId="10" fillId="9" borderId="4" xfId="7" applyNumberFormat="1" applyFont="1" applyFill="1" applyBorder="1" applyAlignment="1">
      <alignment horizontal="center" vertical="center"/>
    </xf>
    <xf numFmtId="2" fontId="10" fillId="9" borderId="5" xfId="7" applyNumberFormat="1" applyFont="1" applyFill="1" applyBorder="1" applyAlignment="1">
      <alignment horizontal="center" vertical="center"/>
    </xf>
    <xf numFmtId="2" fontId="10" fillId="9" borderId="7" xfId="7" applyNumberFormat="1" applyFont="1" applyFill="1" applyBorder="1" applyAlignment="1">
      <alignment horizontal="center" vertical="center"/>
    </xf>
    <xf numFmtId="2" fontId="10" fillId="9" borderId="1" xfId="7" applyNumberFormat="1" applyFont="1" applyFill="1" applyBorder="1" applyAlignment="1">
      <alignment horizontal="center" vertical="center"/>
    </xf>
    <xf numFmtId="2" fontId="10" fillId="9" borderId="8" xfId="7" applyNumberFormat="1" applyFont="1" applyFill="1" applyBorder="1" applyAlignment="1">
      <alignment horizontal="center" vertical="center"/>
    </xf>
    <xf numFmtId="2" fontId="10" fillId="9" borderId="9" xfId="7" applyNumberFormat="1" applyFont="1" applyFill="1" applyBorder="1" applyAlignment="1">
      <alignment horizontal="center" vertical="center"/>
    </xf>
    <xf numFmtId="0" fontId="13" fillId="11" borderId="10" xfId="7" applyFont="1" applyFill="1" applyBorder="1" applyAlignment="1">
      <alignment horizontal="center" vertical="center"/>
    </xf>
    <xf numFmtId="0" fontId="13" fillId="11" borderId="11" xfId="7" applyFont="1" applyFill="1" applyBorder="1" applyAlignment="1">
      <alignment horizontal="center" vertical="center"/>
    </xf>
    <xf numFmtId="0" fontId="13" fillId="11" borderId="11" xfId="7" applyFont="1" applyFill="1" applyBorder="1" applyAlignment="1">
      <alignment horizontal="center" vertical="center" wrapText="1"/>
    </xf>
    <xf numFmtId="0" fontId="13" fillId="11" borderId="12" xfId="7" applyFont="1" applyFill="1" applyBorder="1" applyAlignment="1">
      <alignment horizontal="center" vertical="center"/>
    </xf>
    <xf numFmtId="0" fontId="17" fillId="14" borderId="28" xfId="7" applyFont="1" applyFill="1" applyBorder="1" applyAlignment="1">
      <alignment horizontal="center"/>
    </xf>
    <xf numFmtId="0" fontId="17" fillId="14" borderId="29" xfId="7" applyFont="1" applyFill="1" applyBorder="1" applyAlignment="1">
      <alignment horizontal="center"/>
    </xf>
    <xf numFmtId="0" fontId="17" fillId="14" borderId="30" xfId="7" applyFont="1" applyFill="1" applyBorder="1" applyAlignment="1">
      <alignment horizontal="center"/>
    </xf>
    <xf numFmtId="0" fontId="11" fillId="14" borderId="10" xfId="7" applyFont="1" applyFill="1" applyBorder="1" applyAlignment="1">
      <alignment horizontal="center"/>
    </xf>
    <xf numFmtId="0" fontId="11" fillId="14" borderId="11" xfId="7" applyFont="1" applyFill="1" applyBorder="1" applyAlignment="1">
      <alignment horizontal="center"/>
    </xf>
    <xf numFmtId="0" fontId="11" fillId="14" borderId="12" xfId="7" applyFont="1" applyFill="1" applyBorder="1" applyAlignment="1">
      <alignment horizontal="center"/>
    </xf>
    <xf numFmtId="0" fontId="14" fillId="17" borderId="0" xfId="7" applyFont="1" applyFill="1" applyAlignment="1">
      <alignment horizontal="center" vertical="center"/>
    </xf>
    <xf numFmtId="0" fontId="22" fillId="10" borderId="0" xfId="0" applyFont="1" applyFill="1" applyAlignment="1">
      <alignment horizontal="center" vertical="center"/>
    </xf>
    <xf numFmtId="0" fontId="17" fillId="14" borderId="10" xfId="7" applyFont="1" applyFill="1" applyBorder="1" applyAlignment="1">
      <alignment horizontal="center"/>
    </xf>
    <xf numFmtId="0" fontId="17" fillId="14" borderId="11" xfId="7" applyFont="1" applyFill="1" applyBorder="1" applyAlignment="1">
      <alignment horizontal="center"/>
    </xf>
    <xf numFmtId="0" fontId="17" fillId="14" borderId="12" xfId="7" applyFont="1" applyFill="1" applyBorder="1" applyAlignment="1">
      <alignment horizontal="center"/>
    </xf>
    <xf numFmtId="0" fontId="38" fillId="20" borderId="0" xfId="2" applyFont="1" applyFill="1" applyBorder="1" applyAlignment="1">
      <alignment horizontal="center" vertical="center"/>
    </xf>
    <xf numFmtId="0" fontId="38" fillId="0" borderId="41" xfId="2" applyFont="1" applyFill="1" applyBorder="1" applyAlignment="1">
      <alignment horizontal="left" vertical="center" wrapText="1"/>
    </xf>
    <xf numFmtId="0" fontId="45" fillId="0" borderId="1" xfId="0" applyFont="1" applyBorder="1" applyAlignment="1">
      <alignment horizontal="left" vertical="center" wrapText="1"/>
    </xf>
    <xf numFmtId="0" fontId="38" fillId="20" borderId="0" xfId="2" applyFont="1" applyFill="1" applyBorder="1" applyAlignment="1">
      <alignment horizontal="center" vertical="center" wrapText="1"/>
    </xf>
    <xf numFmtId="0" fontId="45" fillId="18" borderId="1" xfId="0" applyFont="1" applyFill="1" applyBorder="1" applyAlignment="1">
      <alignment horizontal="center" vertical="center"/>
    </xf>
    <xf numFmtId="0" fontId="38" fillId="18" borderId="0" xfId="0" applyFont="1" applyFill="1" applyBorder="1" applyAlignment="1">
      <alignment horizontal="center" vertical="center"/>
    </xf>
  </cellXfs>
  <cellStyles count="9">
    <cellStyle name="40% - Énfasis1" xfId="2" builtinId="31"/>
    <cellStyle name="60% - Énfasis1" xfId="3" builtinId="32"/>
    <cellStyle name="Énfasis1" xfId="1" builtinId="29"/>
    <cellStyle name="Hipervínculo" xfId="4" builtinId="8"/>
    <cellStyle name="Hyperlink" xfId="5" xr:uid="{00000000-000B-0000-0000-000008000000}"/>
    <cellStyle name="Normal" xfId="0" builtinId="0"/>
    <cellStyle name="Normal 2" xfId="7" xr:uid="{12B48B8C-657F-40DD-B024-7A07FF858903}"/>
    <cellStyle name="Porcentaje" xfId="6" builtinId="5"/>
    <cellStyle name="Porcentaje 2" xfId="8" xr:uid="{1EC4A36A-69CD-45BD-8893-C2CF38947BE0}"/>
  </cellStyles>
  <dxfs count="62">
    <dxf>
      <font>
        <b val="0"/>
        <i val="0"/>
        <strike val="0"/>
        <condense val="0"/>
        <extend val="0"/>
        <outline val="0"/>
        <shadow val="0"/>
        <u val="none"/>
        <vertAlign val="baseline"/>
        <sz val="12"/>
        <color auto="1"/>
        <name val="72"/>
        <family val="2"/>
        <scheme val="none"/>
      </font>
      <numFmt numFmtId="14" formatCode="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72"/>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72"/>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72"/>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72"/>
        <family val="2"/>
        <scheme val="none"/>
      </font>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72"/>
        <family val="2"/>
        <scheme val="none"/>
      </font>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72"/>
        <family val="2"/>
        <scheme val="none"/>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72"/>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72"/>
        <family val="2"/>
        <scheme val="none"/>
      </font>
      <numFmt numFmtId="165" formatCode="mmm"/>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72"/>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72"/>
        <family val="2"/>
        <scheme val="none"/>
      </font>
      <numFmt numFmtId="164" formatCode="dd/mm/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72"/>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12"/>
        <color auto="1"/>
        <name val="72"/>
        <family val="2"/>
        <scheme val="none"/>
      </font>
      <fill>
        <patternFill patternType="none">
          <fgColor rgb="FF000000"/>
          <bgColor auto="1"/>
        </patternFill>
      </fill>
      <alignment vertical="center" textRotation="0" indent="0" justifyLastLine="0" shrinkToFit="0" readingOrder="0"/>
    </dxf>
    <dxf>
      <border>
        <bottom style="thin">
          <color rgb="FF000000"/>
        </bottom>
      </border>
    </dxf>
    <dxf>
      <font>
        <strike val="0"/>
        <outline val="0"/>
        <shadow val="0"/>
        <u val="none"/>
        <vertAlign val="baseline"/>
        <sz val="12"/>
        <color theme="0"/>
        <name val="72"/>
        <family val="2"/>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b val="0"/>
        <i val="0"/>
        <strike val="0"/>
        <condense val="0"/>
        <extend val="0"/>
        <outline val="0"/>
        <shadow val="0"/>
        <u val="none"/>
        <vertAlign val="baseline"/>
        <sz val="12"/>
        <color auto="1"/>
        <name val="72"/>
        <family val="2"/>
        <scheme val="none"/>
      </font>
      <numFmt numFmtId="14" formatCode="0.00%"/>
      <fill>
        <patternFill patternType="none">
          <fgColor rgb="FF000000"/>
          <bgColor auto="1"/>
        </patternFill>
      </fill>
      <alignment horizontal="general"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auto="1"/>
        <name val="72"/>
        <family val="2"/>
        <scheme val="none"/>
      </font>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auto="1"/>
        <name val="72"/>
        <family val="2"/>
        <scheme val="none"/>
      </font>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auto="1"/>
        <name val="72"/>
        <family val="2"/>
        <scheme val="none"/>
      </font>
      <numFmt numFmtId="19" formatCode="d/m/yyyy"/>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72"/>
        <family val="2"/>
        <scheme val="none"/>
      </font>
      <numFmt numFmtId="14" formatCode="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72"/>
        <family val="2"/>
        <scheme val="none"/>
      </font>
      <numFmt numFmtId="19" formatCode="d/m/yyyy"/>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72"/>
        <family val="2"/>
        <scheme val="none"/>
      </font>
      <numFmt numFmtId="19" formatCode="d/m/yyyy"/>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72"/>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72"/>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72"/>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72"/>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72"/>
        <family val="2"/>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72"/>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72"/>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72"/>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72"/>
        <family val="2"/>
        <scheme val="none"/>
      </font>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72"/>
        <family val="2"/>
        <scheme val="none"/>
      </font>
      <fill>
        <patternFill patternType="none">
          <fgColor indexed="64"/>
          <bgColor indexed="65"/>
        </patternFill>
      </fill>
      <alignment horizontal="left" vertical="center" textRotation="0" wrapText="0"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2"/>
        <color auto="1"/>
        <name val="72"/>
        <family val="2"/>
        <scheme val="none"/>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72"/>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auto="1"/>
        <name val="72"/>
        <family val="2"/>
        <scheme val="none"/>
      </font>
      <numFmt numFmtId="165" formatCode="mmm"/>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72"/>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72"/>
        <family val="2"/>
        <scheme val="none"/>
      </font>
      <numFmt numFmtId="164" formatCode="dd/mm/yy;@"/>
      <fill>
        <patternFill patternType="solid">
          <fgColor indexed="64"/>
          <bgColor theme="4"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72"/>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color auto="1"/>
        <name val="72"/>
        <family val="2"/>
        <scheme val="none"/>
      </font>
      <fill>
        <patternFill patternType="none">
          <fgColor rgb="FF000000"/>
          <bgColor auto="1"/>
        </patternFill>
      </fill>
      <alignment vertical="center" textRotation="0" indent="0" justifyLastLine="0" shrinkToFit="0" readingOrder="0"/>
    </dxf>
    <dxf>
      <border>
        <bottom style="thin">
          <color indexed="64"/>
        </bottom>
      </border>
    </dxf>
    <dxf>
      <font>
        <b/>
        <strike val="0"/>
        <outline val="0"/>
        <shadow val="0"/>
        <u val="none"/>
        <vertAlign val="baseline"/>
        <sz val="12"/>
        <color theme="0"/>
        <name val="72"/>
        <family val="2"/>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s>
  <tableStyles count="1" defaultTableStyle="TableStyleMedium2" defaultPivotStyle="PivotStyleLight16">
    <tableStyle name="ToDoList" pivot="0" count="9" xr9:uid="{88B0DB8C-7F47-44C8-A3A0-E38AFF26571A}">
      <tableStyleElement type="wholeTable" dxfId="61"/>
      <tableStyleElement type="headerRow" dxfId="60"/>
      <tableStyleElement type="totalRow" dxfId="59"/>
      <tableStyleElement type="firstColumn" dxfId="58"/>
      <tableStyleElement type="lastColumn" dxfId="57"/>
      <tableStyleElement type="firstRowStripe" dxfId="56"/>
      <tableStyleElement type="secondRowStripe" dxfId="55"/>
      <tableStyleElement type="firstColumnStripe" dxfId="54"/>
      <tableStyleElement type="secondColumnStripe" dxfId="53"/>
    </tableStyle>
  </tableStyles>
  <colors>
    <mruColors>
      <color rgb="FF75FF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sharedStrings" Target="sharedStrings.xml"/><Relationship Id="rId26" Type="http://schemas.openxmlformats.org/officeDocument/2006/relationships/customXml" Target="../customXml/item2.xml"/><Relationship Id="rId3" Type="http://schemas.openxmlformats.org/officeDocument/2006/relationships/worksheet" Target="worksheets/sheet3.xml"/><Relationship Id="rId21" Type="http://schemas.microsoft.com/office/2017/06/relationships/rdRichValue" Target="richData/rdrichvalue.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tyles" Target="styles.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22/10/relationships/richValueRel" Target="richData/richValueRel.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microsoft.com/office/2007/relationships/slicerCache" Target="slicerCaches/slicerCache2.xml"/><Relationship Id="rId23" Type="http://schemas.microsoft.com/office/2017/06/relationships/rdRichValueTypes" Target="richData/rdRichValueType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microsoft.com/office/2017/06/relationships/rdRichValueStructure" Target="richData/rdrichvaluestructure.xml"/><Relationship Id="rId27"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[01. MEJORA_CONTINUA_2026 v2.xlsm]PIVOT!TablaDinámica1</c:name>
    <c:fmtId val="6"/>
  </c:pivotSource>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s-AR" sz="2000" b="1"/>
              <a:t>STATUS</a:t>
            </a:r>
            <a:r>
              <a:rPr lang="es-AR" sz="2000" b="1" baseline="0"/>
              <a:t> DE MEJORAS</a:t>
            </a:r>
            <a:endParaRPr lang="es-AR" sz="2000" b="1"/>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s-A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0B050"/>
          </a:solidFill>
          <a:ln>
            <a:noFill/>
          </a:ln>
          <a:effectLst/>
        </c:spPr>
      </c:pivotFmt>
      <c:pivotFmt>
        <c:idx val="7"/>
        <c:spPr>
          <a:solidFill>
            <a:schemeClr val="accent1"/>
          </a:solidFill>
          <a:ln>
            <a:noFill/>
          </a:ln>
          <a:effectLst/>
        </c:spPr>
      </c:pivotFmt>
      <c:pivotFmt>
        <c:idx val="8"/>
        <c:spPr>
          <a:solidFill>
            <a:srgbClr val="7030A0"/>
          </a:solidFill>
          <a:ln>
            <a:noFill/>
          </a:ln>
          <a:effectLst/>
        </c:spPr>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00B050"/>
          </a:solidFill>
          <a:ln>
            <a:noFill/>
          </a:ln>
          <a:effectLst/>
        </c:spPr>
      </c:pivotFmt>
      <c:pivotFmt>
        <c:idx val="11"/>
        <c:spPr>
          <a:solidFill>
            <a:schemeClr val="accent1"/>
          </a:solidFill>
          <a:ln>
            <a:noFill/>
          </a:ln>
          <a:effectLst/>
        </c:spPr>
      </c:pivotFmt>
      <c:pivotFmt>
        <c:idx val="12"/>
        <c:spPr>
          <a:solidFill>
            <a:srgbClr val="7030A0"/>
          </a:solidFill>
          <a:ln>
            <a:noFill/>
          </a:ln>
          <a:effectLst/>
        </c:spPr>
      </c:pivotFmt>
      <c:pivotFmt>
        <c:idx val="13"/>
        <c:spPr>
          <a:solidFill>
            <a:srgbClr val="00B050"/>
          </a:solidFill>
          <a:ln>
            <a:noFill/>
          </a:ln>
          <a:effectLst/>
        </c:spPr>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00B050"/>
          </a:solidFill>
          <a:ln>
            <a:noFill/>
          </a:ln>
          <a:effectLst/>
        </c:spPr>
      </c:pivotFmt>
      <c:pivotFmt>
        <c:idx val="16"/>
        <c:spPr>
          <a:solidFill>
            <a:schemeClr val="accent1"/>
          </a:solidFill>
          <a:ln>
            <a:noFill/>
          </a:ln>
          <a:effectLst/>
        </c:spPr>
      </c:pivotFmt>
      <c:pivotFmt>
        <c:idx val="17"/>
        <c:spPr>
          <a:solidFill>
            <a:srgbClr val="7030A0"/>
          </a:solidFill>
          <a:ln>
            <a:noFill/>
          </a:ln>
          <a:effectLst/>
        </c:spPr>
      </c:pivotFmt>
    </c:pivotFmts>
    <c:plotArea>
      <c:layout/>
      <c:doughnutChart>
        <c:varyColors val="1"/>
        <c:ser>
          <c:idx val="0"/>
          <c:order val="0"/>
          <c:tx>
            <c:strRef>
              <c:f>PIVOT!$B$3</c:f>
              <c:strCache>
                <c:ptCount val="1"/>
                <c:pt idx="0">
                  <c:v>Total</c:v>
                </c:pt>
              </c:strCache>
            </c:strRef>
          </c:tx>
          <c:dPt>
            <c:idx val="0"/>
            <c:bubble3D val="0"/>
            <c:spPr>
              <a:solidFill>
                <a:srgbClr val="00B050"/>
              </a:solidFill>
              <a:ln>
                <a:noFill/>
              </a:ln>
              <a:effectLst/>
            </c:spPr>
            <c:extLst>
              <c:ext xmlns:c16="http://schemas.microsoft.com/office/drawing/2014/chart" uri="{C3380CC4-5D6E-409C-BE32-E72D297353CC}">
                <c16:uniqueId val="{00000001-3C8C-4341-B7B3-D32EC1B618C1}"/>
              </c:ext>
            </c:extLst>
          </c:dPt>
          <c:dPt>
            <c:idx val="1"/>
            <c:bubble3D val="0"/>
            <c:spPr>
              <a:solidFill>
                <a:srgbClr val="7030A0"/>
              </a:solidFill>
              <a:ln>
                <a:noFill/>
              </a:ln>
              <a:effectLst/>
            </c:spPr>
            <c:extLst>
              <c:ext xmlns:c16="http://schemas.microsoft.com/office/drawing/2014/chart" uri="{C3380CC4-5D6E-409C-BE32-E72D297353CC}">
                <c16:uniqueId val="{00000003-3C8C-4341-B7B3-D32EC1B618C1}"/>
              </c:ext>
            </c:extLst>
          </c:dPt>
          <c:dPt>
            <c:idx val="2"/>
            <c:bubble3D val="0"/>
            <c:spPr>
              <a:solidFill>
                <a:schemeClr val="accent3"/>
              </a:solidFill>
              <a:ln>
                <a:noFill/>
              </a:ln>
              <a:effectLst/>
            </c:spPr>
            <c:extLst>
              <c:ext xmlns:c16="http://schemas.microsoft.com/office/drawing/2014/chart" uri="{C3380CC4-5D6E-409C-BE32-E72D297353CC}">
                <c16:uniqueId val="{00000005-3C8C-4341-B7B3-D32EC1B618C1}"/>
              </c:ext>
            </c:extLst>
          </c:dPt>
          <c:dLbls>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s-A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PIVOT!$A$4:$A$5</c:f>
              <c:strCache>
                <c:ptCount val="2"/>
                <c:pt idx="0">
                  <c:v>IMPLEMENTADA</c:v>
                </c:pt>
                <c:pt idx="1">
                  <c:v>NO INICIADO</c:v>
                </c:pt>
              </c:strCache>
            </c:strRef>
          </c:cat>
          <c:val>
            <c:numRef>
              <c:f>PIVOT!$B$4:$B$5</c:f>
              <c:numCache>
                <c:formatCode>General</c:formatCode>
                <c:ptCount val="2"/>
                <c:pt idx="0">
                  <c:v>45</c:v>
                </c:pt>
                <c:pt idx="1">
                  <c:v>28</c:v>
                </c:pt>
              </c:numCache>
            </c:numRef>
          </c:val>
          <c:extLst>
            <c:ext xmlns:c16="http://schemas.microsoft.com/office/drawing/2014/chart" uri="{C3380CC4-5D6E-409C-BE32-E72D297353CC}">
              <c16:uniqueId val="{00000006-DC48-4ACB-B483-3E95D333AC7A}"/>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A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200"/>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[01. MEJORA_CONTINUA_2026 v2.xlsm]PIVOT!TablaDinámica2</c:name>
    <c:fmtId val="3"/>
  </c:pivotSource>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s-AR" sz="2000" b="1"/>
              <a:t>MEJORAS</a:t>
            </a:r>
            <a:r>
              <a:rPr lang="es-AR" sz="2000" b="1" baseline="0"/>
              <a:t> POR MES</a:t>
            </a:r>
            <a:endParaRPr lang="es-AR" sz="2000" b="1"/>
          </a:p>
        </c:rich>
      </c:tx>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A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tx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tx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6506257896285359E-2"/>
          <c:y val="0.131551108194809"/>
          <c:w val="0.95160135945910085"/>
          <c:h val="0.76104950422863804"/>
        </c:manualLayout>
      </c:layout>
      <c:barChart>
        <c:barDir val="col"/>
        <c:grouping val="stacked"/>
        <c:varyColors val="0"/>
        <c:ser>
          <c:idx val="0"/>
          <c:order val="0"/>
          <c:tx>
            <c:strRef>
              <c:f>PIVOT!$B$33</c:f>
              <c:strCache>
                <c:ptCount val="1"/>
                <c:pt idx="0">
                  <c:v>Tgt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PIVOT!$A$34</c:f>
              <c:strCache>
                <c:ptCount val="1"/>
                <c:pt idx="0">
                  <c:v>mar</c:v>
                </c:pt>
              </c:strCache>
            </c:strRef>
          </c:cat>
          <c:val>
            <c:numRef>
              <c:f>PIVOT!$B$34</c:f>
              <c:numCache>
                <c:formatCode>General</c:formatCode>
                <c:ptCount val="1"/>
                <c:pt idx="0">
                  <c:v>2</c:v>
                </c:pt>
              </c:numCache>
            </c:numRef>
          </c:val>
          <c:extLst>
            <c:ext xmlns:c16="http://schemas.microsoft.com/office/drawing/2014/chart" uri="{C3380CC4-5D6E-409C-BE32-E72D297353CC}">
              <c16:uniqueId val="{00000000-2537-44DE-8E43-B57DD82697D5}"/>
            </c:ext>
          </c:extLst>
        </c:ser>
        <c:ser>
          <c:idx val="1"/>
          <c:order val="1"/>
          <c:tx>
            <c:strRef>
              <c:f>PIVOT!$C$33</c:f>
              <c:strCache>
                <c:ptCount val="1"/>
                <c:pt idx="0">
                  <c:v>Curr</c:v>
                </c:pt>
              </c:strCache>
            </c:strRef>
          </c:tx>
          <c:spPr>
            <a:solidFill>
              <a:schemeClr val="tx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A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PIVOT!$A$34</c:f>
              <c:strCache>
                <c:ptCount val="1"/>
                <c:pt idx="0">
                  <c:v>mar</c:v>
                </c:pt>
              </c:strCache>
            </c:strRef>
          </c:cat>
          <c:val>
            <c:numRef>
              <c:f>PIVOT!$C$34</c:f>
              <c:numCache>
                <c:formatCode>General</c:formatCode>
                <c:ptCount val="1"/>
                <c:pt idx="0">
                  <c:v>5</c:v>
                </c:pt>
              </c:numCache>
            </c:numRef>
          </c:val>
          <c:extLst>
            <c:ext xmlns:c16="http://schemas.microsoft.com/office/drawing/2014/chart" uri="{C3380CC4-5D6E-409C-BE32-E72D297353CC}">
              <c16:uniqueId val="{00000001-2537-44DE-8E43-B57DD82697D5}"/>
            </c:ext>
          </c:extLst>
        </c:ser>
        <c:dLbls>
          <c:showLegendKey val="0"/>
          <c:showVal val="0"/>
          <c:showCatName val="0"/>
          <c:showSerName val="0"/>
          <c:showPercent val="0"/>
          <c:showBubbleSize val="0"/>
        </c:dLbls>
        <c:gapWidth val="219"/>
        <c:overlap val="100"/>
        <c:axId val="1183930175"/>
        <c:axId val="1170641103"/>
      </c:barChart>
      <c:catAx>
        <c:axId val="11839301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170641103"/>
        <c:crosses val="autoZero"/>
        <c:auto val="1"/>
        <c:lblAlgn val="ctr"/>
        <c:lblOffset val="100"/>
        <c:noMultiLvlLbl val="0"/>
      </c:catAx>
      <c:valAx>
        <c:axId val="117064110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1839301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sz="1600" b="1">
                <a:solidFill>
                  <a:srgbClr val="46545C"/>
                </a:solidFill>
                <a:latin typeface="Aptos Display"/>
                <a:ea typeface="Aptos Display"/>
                <a:cs typeface="Aptos Display"/>
              </a:defRPr>
            </a:pPr>
            <a:r>
              <a:rPr lang="en-US"/>
              <a:t>Mejoras por zona</a:t>
            </a:r>
          </a:p>
        </c:rich>
      </c:tx>
      <c:overlay val="0"/>
    </c:title>
    <c:autoTitleDeleted val="0"/>
    <c:plotArea>
      <c:layout/>
      <c:doughnutChart>
        <c:varyColors val="1"/>
        <c:ser>
          <c:idx val="0"/>
          <c:order val="0"/>
          <c:tx>
            <c:strRef>
              <c:f>'Chart Data'!$B$1</c:f>
              <c:strCache>
                <c:ptCount val="1"/>
                <c:pt idx="0">
                  <c:v>STATUS</c:v>
                </c:pt>
              </c:strCache>
            </c:strRef>
          </c:tx>
          <c:dPt>
            <c:idx val="0"/>
            <c:bubble3D val="0"/>
            <c:spPr>
              <a:solidFill>
                <a:srgbClr val="5B8DB8"/>
              </a:solidFill>
            </c:spPr>
            <c:extLst>
              <c:ext xmlns:c16="http://schemas.microsoft.com/office/drawing/2014/chart" uri="{C3380CC4-5D6E-409C-BE32-E72D297353CC}">
                <c16:uniqueId val="{00000001-B156-4AF2-89A4-4D238750136D}"/>
              </c:ext>
            </c:extLst>
          </c:dPt>
          <c:dPt>
            <c:idx val="1"/>
            <c:bubble3D val="0"/>
            <c:spPr>
              <a:solidFill>
                <a:srgbClr val="5F9E7D"/>
              </a:solidFill>
            </c:spPr>
            <c:extLst>
              <c:ext xmlns:c16="http://schemas.microsoft.com/office/drawing/2014/chart" uri="{C3380CC4-5D6E-409C-BE32-E72D297353CC}">
                <c16:uniqueId val="{00000002-B156-4AF2-89A4-4D238750136D}"/>
              </c:ext>
            </c:extLst>
          </c:dPt>
          <c:dPt>
            <c:idx val="2"/>
            <c:bubble3D val="0"/>
            <c:spPr>
              <a:solidFill>
                <a:srgbClr val="D6A85F"/>
              </a:solidFill>
            </c:spPr>
            <c:extLst>
              <c:ext xmlns:c16="http://schemas.microsoft.com/office/drawing/2014/chart" uri="{C3380CC4-5D6E-409C-BE32-E72D297353CC}">
                <c16:uniqueId val="{00000003-B156-4AF2-89A4-4D238750136D}"/>
              </c:ext>
            </c:extLst>
          </c:dPt>
          <c:dPt>
            <c:idx val="3"/>
            <c:bubble3D val="0"/>
            <c:spPr>
              <a:solidFill>
                <a:srgbClr val="9A7BB5"/>
              </a:solidFill>
            </c:spPr>
            <c:extLst>
              <c:ext xmlns:c16="http://schemas.microsoft.com/office/drawing/2014/chart" uri="{C3380CC4-5D6E-409C-BE32-E72D297353CC}">
                <c16:uniqueId val="{00000004-B156-4AF2-89A4-4D238750136D}"/>
              </c:ext>
            </c:extLst>
          </c:dPt>
          <c:dPt>
            <c:idx val="4"/>
            <c:bubble3D val="0"/>
            <c:spPr>
              <a:solidFill>
                <a:srgbClr val="D47C6A"/>
              </a:solidFill>
            </c:spPr>
            <c:extLst>
              <c:ext xmlns:c16="http://schemas.microsoft.com/office/drawing/2014/chart" uri="{C3380CC4-5D6E-409C-BE32-E72D297353CC}">
                <c16:uniqueId val="{00000005-B156-4AF2-89A4-4D238750136D}"/>
              </c:ext>
            </c:extLst>
          </c:dPt>
          <c:dPt>
            <c:idx val="5"/>
            <c:bubble3D val="0"/>
            <c:spPr>
              <a:solidFill>
                <a:srgbClr val="73828C"/>
              </a:solidFill>
            </c:spPr>
            <c:extLst>
              <c:ext xmlns:c16="http://schemas.microsoft.com/office/drawing/2014/chart" uri="{C3380CC4-5D6E-409C-BE32-E72D297353CC}">
                <c16:uniqueId val="{00000006-B156-4AF2-89A4-4D238750136D}"/>
              </c:ext>
            </c:extLst>
          </c:dPt>
          <c:dLbls>
            <c:numFmt formatCode="0" sourceLinked="0"/>
            <c:spPr>
              <a:noFill/>
              <a:ln>
                <a:noFill/>
              </a:ln>
              <a:effectLst/>
            </c:spPr>
            <c:txPr>
              <a:bodyPr wrap="square" lIns="38100" tIns="19050" rIns="38100" bIns="19050" anchor="ctr">
                <a:spAutoFit/>
              </a:bodyPr>
              <a:lstStyle/>
              <a:p>
                <a:pPr>
                  <a:defRPr sz="1000" b="1">
                    <a:solidFill>
                      <a:srgbClr val="2F3B40"/>
                    </a:solidFill>
                    <a:latin typeface="Aptos"/>
                    <a:ea typeface="Aptos"/>
                    <a:cs typeface="Aptos"/>
                  </a:defRPr>
                </a:pPr>
                <a:endParaRPr lang="es-AR"/>
              </a:p>
            </c:txPr>
            <c:showLegendKey val="0"/>
            <c:showVal val="1"/>
            <c:showCatName val="0"/>
            <c:showSerName val="0"/>
            <c:showPercent val="0"/>
            <c:showBubbleSize val="0"/>
            <c:showLeaderLines val="1"/>
            <c:extLst>
              <c:ext xmlns:c15="http://schemas.microsoft.com/office/drawing/2012/chart" uri="{CE6537A1-D6FC-4f65-9D91-7224C49458BB}"/>
            </c:extLst>
          </c:dLbls>
          <c:cat>
            <c:strRef>
              <c:f>'Chart Data'!$A$2:$A$7</c:f>
              <c:strCache>
                <c:ptCount val="6"/>
                <c:pt idx="0">
                  <c:v>Laboratorio de Celulares</c:v>
                </c:pt>
                <c:pt idx="1">
                  <c:v>Áreas Comunes</c:v>
                </c:pt>
                <c:pt idx="2">
                  <c:v>Mantenimiento</c:v>
                </c:pt>
                <c:pt idx="3">
                  <c:v>Buy Back and Trade In</c:v>
                </c:pt>
                <c:pt idx="4">
                  <c:v>Deposito</c:v>
                </c:pt>
                <c:pt idx="5">
                  <c:v>Piso 2</c:v>
                </c:pt>
              </c:strCache>
            </c:strRef>
          </c:cat>
          <c:val>
            <c:numRef>
              <c:f>'Chart Data'!$B$2:$B$7</c:f>
              <c:numCache>
                <c:formatCode>0</c:formatCode>
                <c:ptCount val="6"/>
                <c:pt idx="0">
                  <c:v>12</c:v>
                </c:pt>
                <c:pt idx="1">
                  <c:v>15</c:v>
                </c:pt>
                <c:pt idx="2">
                  <c:v>3</c:v>
                </c:pt>
                <c:pt idx="3">
                  <c:v>2</c:v>
                </c:pt>
                <c:pt idx="4">
                  <c:v>11</c:v>
                </c:pt>
                <c:pt idx="5">
                  <c:v>2</c:v>
                </c:pt>
              </c:numCache>
            </c:numRef>
          </c:val>
          <c:extLst>
            <c:ext xmlns:c16="http://schemas.microsoft.com/office/drawing/2014/chart" uri="{C3380CC4-5D6E-409C-BE32-E72D297353CC}">
              <c16:uniqueId val="{00000000-B156-4AF2-89A4-4D238750136D}"/>
            </c:ext>
          </c:extLst>
        </c:ser>
        <c:dLbls>
          <c:showLegendKey val="0"/>
          <c:showVal val="0"/>
          <c:showCatName val="0"/>
          <c:showSerName val="0"/>
          <c:showPercent val="0"/>
          <c:showBubbleSize val="0"/>
          <c:showLeaderLines val="1"/>
        </c:dLbls>
        <c:firstSliceAng val="0"/>
        <c:holeSize val="75"/>
      </c:doughnutChart>
      <c:spPr>
        <a:solidFill>
          <a:srgbClr val="FAFAF8"/>
        </a:solidFill>
      </c:spPr>
    </c:plotArea>
    <c:legend>
      <c:legendPos val="r"/>
      <c:overlay val="0"/>
      <c:txPr>
        <a:bodyPr/>
        <a:lstStyle/>
        <a:p>
          <a:pPr>
            <a:defRPr sz="1000">
              <a:solidFill>
                <a:srgbClr val="667178"/>
              </a:solidFill>
              <a:latin typeface="Aptos"/>
              <a:ea typeface="Aptos"/>
              <a:cs typeface="Aptos"/>
            </a:defRPr>
          </a:pPr>
          <a:endParaRPr lang="es-AR"/>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AFAF8"/>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96438723167901E-2"/>
          <c:y val="5.4692226162156507E-2"/>
          <c:w val="0.91312418727742017"/>
          <c:h val="0.70565446162873402"/>
        </c:manualLayout>
      </c:layout>
      <c:barChart>
        <c:barDir val="col"/>
        <c:grouping val="clustered"/>
        <c:varyColors val="0"/>
        <c:ser>
          <c:idx val="1"/>
          <c:order val="0"/>
          <c:tx>
            <c:strRef>
              <c:f>SEGUIMIENTO!$E$47</c:f>
              <c:strCache>
                <c:ptCount val="1"/>
                <c:pt idx="0">
                  <c:v>Dentro de objetivo</c:v>
                </c:pt>
              </c:strCache>
            </c:strRef>
          </c:tx>
          <c:spPr>
            <a:solidFill>
              <a:srgbClr val="00B050"/>
            </a:solidFill>
            <a:ln w="12700" cap="flat" cmpd="sng" algn="ctr">
              <a:solidFill>
                <a:schemeClr val="accent3">
                  <a:shade val="15000"/>
                </a:schemeClr>
              </a:solidFill>
              <a:prstDash val="solid"/>
              <a:miter lim="800000"/>
            </a:ln>
            <a:effectLst/>
          </c:spPr>
          <c:invertIfNegative val="0"/>
          <c:dLbls>
            <c:numFmt formatCode="#,##0;;;" sourceLinked="0"/>
            <c:spPr>
              <a:noFill/>
              <a:ln>
                <a:noFill/>
              </a:ln>
              <a:effectLst/>
            </c:spPr>
            <c:txPr>
              <a:bodyPr rot="-5400000" vert="horz" wrap="square" lIns="38100" tIns="19050" rIns="38100" bIns="19050" anchor="ctr">
                <a:spAutoFit/>
              </a:bodyPr>
              <a:lstStyle/>
              <a:p>
                <a:pPr>
                  <a:defRPr sz="1400" b="1">
                    <a:solidFill>
                      <a:sysClr val="windowText" lastClr="000000"/>
                    </a:solidFill>
                    <a:latin typeface="Work Sans" panose="00000500000000000000" pitchFamily="2" charset="0"/>
                  </a:defRPr>
                </a:pPr>
                <a:endParaRPr lang="es-A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extLst>
                <c:ext xmlns:c15="http://schemas.microsoft.com/office/drawing/2012/chart" uri="{02D57815-91ED-43cb-92C2-25804820EDAC}">
                  <c15:fullRef>
                    <c15:sqref>SEGUIMIENTO!$B$48:$B$263</c15:sqref>
                  </c15:fullRef>
                </c:ext>
              </c:extLst>
              <c:f>SEGUIMIENTO!$B$48:$B$232</c:f>
              <c:numCache>
                <c:formatCode>General</c:formatCode>
                <c:ptCount val="17"/>
                <c:pt idx="0">
                  <c:v>2024</c:v>
                </c:pt>
                <c:pt idx="1">
                  <c:v>2025</c:v>
                </c:pt>
                <c:pt idx="2">
                  <c:v>2026</c:v>
                </c:pt>
                <c:pt idx="4" formatCode="mmm\-yy">
                  <c:v>46023</c:v>
                </c:pt>
                <c:pt idx="5" formatCode="mmm\-yy">
                  <c:v>46054</c:v>
                </c:pt>
                <c:pt idx="6" formatCode="mmm\-yy">
                  <c:v>46082</c:v>
                </c:pt>
                <c:pt idx="7" formatCode="mmm\-yy">
                  <c:v>46113</c:v>
                </c:pt>
                <c:pt idx="8" formatCode="mmm\-yy">
                  <c:v>46143</c:v>
                </c:pt>
                <c:pt idx="9" formatCode="mmm\-yy">
                  <c:v>46174</c:v>
                </c:pt>
                <c:pt idx="10" formatCode="mmm\-yy">
                  <c:v>46204</c:v>
                </c:pt>
                <c:pt idx="11" formatCode="mmm\-yy">
                  <c:v>46235</c:v>
                </c:pt>
                <c:pt idx="12" formatCode="mmm\-yy">
                  <c:v>46266</c:v>
                </c:pt>
                <c:pt idx="13" formatCode="mmm\-yy">
                  <c:v>46296</c:v>
                </c:pt>
                <c:pt idx="14" formatCode="mmm\-yy">
                  <c:v>46327</c:v>
                </c:pt>
                <c:pt idx="15" formatCode="mmm\-yy">
                  <c:v>46357</c:v>
                </c:pt>
              </c:numCache>
            </c:numRef>
          </c:cat>
          <c:val>
            <c:numRef>
              <c:extLst>
                <c:ext xmlns:c15="http://schemas.microsoft.com/office/drawing/2012/chart" uri="{02D57815-91ED-43cb-92C2-25804820EDAC}">
                  <c15:fullRef>
                    <c15:sqref>SEGUIMIENTO!$E$48:$E$263</c15:sqref>
                  </c15:fullRef>
                </c:ext>
              </c:extLst>
              <c:f>SEGUIMIENTO!$E$48:$E$232</c:f>
              <c:numCache>
                <c:formatCode>#,##0</c:formatCode>
                <c:ptCount val="17"/>
                <c:pt idx="0">
                  <c:v>0</c:v>
                </c:pt>
                <c:pt idx="1">
                  <c:v>0</c:v>
                </c:pt>
                <c:pt idx="2">
                  <c:v>0</c:v>
                </c:pt>
                <c:pt idx="4">
                  <c:v>2</c:v>
                </c:pt>
                <c:pt idx="5">
                  <c:v>4</c:v>
                </c:pt>
                <c:pt idx="6">
                  <c:v>3</c:v>
                </c:pt>
                <c:pt idx="7">
                  <c:v>4</c:v>
                </c:pt>
                <c:pt idx="8">
                  <c:v>2</c:v>
                </c:pt>
                <c:pt idx="9">
                  <c:v>6</c:v>
                </c:pt>
                <c:pt idx="10">
                  <c:v>7</c:v>
                </c:pt>
                <c:pt idx="11">
                  <c:v>3</c:v>
                </c:pt>
                <c:pt idx="12">
                  <c:v>2</c:v>
                </c:pt>
                <c:pt idx="13">
                  <c:v>4</c:v>
                </c:pt>
                <c:pt idx="14">
                  <c:v>0</c:v>
                </c:pt>
                <c:pt idx="15">
                  <c:v>0</c:v>
                </c:pt>
              </c:numCache>
            </c:numRef>
          </c:val>
          <c:extLst>
            <c:ext xmlns:c16="http://schemas.microsoft.com/office/drawing/2014/chart" uri="{C3380CC4-5D6E-409C-BE32-E72D297353CC}">
              <c16:uniqueId val="{00000001-3F8F-4B04-B8F6-9AD35C5E26C8}"/>
            </c:ext>
          </c:extLst>
        </c:ser>
        <c:ser>
          <c:idx val="2"/>
          <c:order val="2"/>
          <c:tx>
            <c:strRef>
              <c:f>SEGUIMIENTO!$F$47</c:f>
              <c:strCache>
                <c:ptCount val="1"/>
                <c:pt idx="0">
                  <c:v>Fuera de objetivo</c:v>
                </c:pt>
              </c:strCache>
            </c:strRef>
          </c:tx>
          <c:spPr>
            <a:solidFill>
              <a:srgbClr val="FF0101"/>
            </a:solidFill>
            <a:ln w="12700" cap="flat" cmpd="sng" algn="ctr">
              <a:solidFill>
                <a:schemeClr val="accent3">
                  <a:shade val="15000"/>
                </a:schemeClr>
              </a:solidFill>
              <a:prstDash val="solid"/>
              <a:miter lim="800000"/>
            </a:ln>
            <a:effectLst/>
          </c:spPr>
          <c:invertIfNegative val="0"/>
          <c:dLbls>
            <c:numFmt formatCode="#,##0;;;" sourceLinked="0"/>
            <c:spPr>
              <a:noFill/>
              <a:ln>
                <a:noFill/>
              </a:ln>
              <a:effectLst/>
            </c:spPr>
            <c:txPr>
              <a:bodyPr rot="-5400000" vert="horz" wrap="square" lIns="38100" tIns="19050" rIns="38100" bIns="19050" anchor="ctr">
                <a:spAutoFit/>
              </a:bodyPr>
              <a:lstStyle/>
              <a:p>
                <a:pPr>
                  <a:defRPr sz="1400" b="1">
                    <a:solidFill>
                      <a:schemeClr val="bg1"/>
                    </a:solidFill>
                    <a:latin typeface="Work Sans" panose="00000500000000000000" pitchFamily="2" charset="0"/>
                  </a:defRPr>
                </a:pPr>
                <a:endParaRPr lang="es-A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extLst>
                <c:ext xmlns:c15="http://schemas.microsoft.com/office/drawing/2012/chart" uri="{02D57815-91ED-43cb-92C2-25804820EDAC}">
                  <c15:fullRef>
                    <c15:sqref>SEGUIMIENTO!$B$48:$B$263</c15:sqref>
                  </c15:fullRef>
                </c:ext>
              </c:extLst>
              <c:f>SEGUIMIENTO!$B$48:$B$232</c:f>
              <c:numCache>
                <c:formatCode>General</c:formatCode>
                <c:ptCount val="17"/>
                <c:pt idx="0">
                  <c:v>2024</c:v>
                </c:pt>
                <c:pt idx="1">
                  <c:v>2025</c:v>
                </c:pt>
                <c:pt idx="2">
                  <c:v>2026</c:v>
                </c:pt>
                <c:pt idx="4" formatCode="mmm\-yy">
                  <c:v>46023</c:v>
                </c:pt>
                <c:pt idx="5" formatCode="mmm\-yy">
                  <c:v>46054</c:v>
                </c:pt>
                <c:pt idx="6" formatCode="mmm\-yy">
                  <c:v>46082</c:v>
                </c:pt>
                <c:pt idx="7" formatCode="mmm\-yy">
                  <c:v>46113</c:v>
                </c:pt>
                <c:pt idx="8" formatCode="mmm\-yy">
                  <c:v>46143</c:v>
                </c:pt>
                <c:pt idx="9" formatCode="mmm\-yy">
                  <c:v>46174</c:v>
                </c:pt>
                <c:pt idx="10" formatCode="mmm\-yy">
                  <c:v>46204</c:v>
                </c:pt>
                <c:pt idx="11" formatCode="mmm\-yy">
                  <c:v>46235</c:v>
                </c:pt>
                <c:pt idx="12" formatCode="mmm\-yy">
                  <c:v>46266</c:v>
                </c:pt>
                <c:pt idx="13" formatCode="mmm\-yy">
                  <c:v>46296</c:v>
                </c:pt>
                <c:pt idx="14" formatCode="mmm\-yy">
                  <c:v>46327</c:v>
                </c:pt>
                <c:pt idx="15" formatCode="mmm\-yy">
                  <c:v>46357</c:v>
                </c:pt>
              </c:numCache>
            </c:numRef>
          </c:cat>
          <c:val>
            <c:numRef>
              <c:extLst>
                <c:ext xmlns:c15="http://schemas.microsoft.com/office/drawing/2012/chart" uri="{02D57815-91ED-43cb-92C2-25804820EDAC}">
                  <c15:fullRef>
                    <c15:sqref>SEGUIMIENTO!$F$48:$F$263</c15:sqref>
                  </c15:fullRef>
                </c:ext>
              </c:extLst>
              <c:f>SEGUIMIENTO!$F$48:$F$232</c:f>
              <c:numCache>
                <c:formatCode>#,##0</c:formatCode>
                <c:ptCount val="17"/>
                <c:pt idx="0">
                  <c:v>0</c:v>
                </c:pt>
                <c:pt idx="1">
                  <c:v>0</c:v>
                </c:pt>
                <c:pt idx="2">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3-3F8F-4B04-B8F6-9AD35C5E26C8}"/>
            </c:ext>
          </c:extLst>
        </c:ser>
        <c:dLbls>
          <c:showLegendKey val="0"/>
          <c:showVal val="0"/>
          <c:showCatName val="0"/>
          <c:showSerName val="0"/>
          <c:showPercent val="0"/>
          <c:showBubbleSize val="0"/>
        </c:dLbls>
        <c:gapWidth val="0"/>
        <c:overlap val="100"/>
        <c:axId val="-1692998928"/>
        <c:axId val="-1692997840"/>
      </c:barChart>
      <c:lineChart>
        <c:grouping val="standard"/>
        <c:varyColors val="0"/>
        <c:ser>
          <c:idx val="3"/>
          <c:order val="3"/>
          <c:tx>
            <c:strRef>
              <c:f>SEGUIMIENTO!$G$47</c:f>
              <c:strCache>
                <c:ptCount val="1"/>
                <c:pt idx="0">
                  <c:v>Tendencias</c:v>
                </c:pt>
              </c:strCache>
            </c:strRef>
          </c:tx>
          <c:spPr>
            <a:ln w="25400">
              <a:solidFill>
                <a:srgbClr val="0070C0"/>
              </a:solidFill>
              <a:prstDash val="dash"/>
            </a:ln>
          </c:spPr>
          <c:marker>
            <c:symbol val="none"/>
          </c:marker>
          <c:cat>
            <c:numRef>
              <c:extLst>
                <c:ext xmlns:c15="http://schemas.microsoft.com/office/drawing/2012/chart" uri="{02D57815-91ED-43cb-92C2-25804820EDAC}">
                  <c15:fullRef>
                    <c15:sqref>SEGUIMIENTO!$B$48:$B$263</c15:sqref>
                  </c15:fullRef>
                </c:ext>
              </c:extLst>
              <c:f>SEGUIMIENTO!$B$48:$B$232</c:f>
              <c:numCache>
                <c:formatCode>General</c:formatCode>
                <c:ptCount val="17"/>
                <c:pt idx="0">
                  <c:v>2024</c:v>
                </c:pt>
                <c:pt idx="1">
                  <c:v>2025</c:v>
                </c:pt>
                <c:pt idx="2">
                  <c:v>2026</c:v>
                </c:pt>
                <c:pt idx="4" formatCode="mmm\-yy">
                  <c:v>46023</c:v>
                </c:pt>
                <c:pt idx="5" formatCode="mmm\-yy">
                  <c:v>46054</c:v>
                </c:pt>
                <c:pt idx="6" formatCode="mmm\-yy">
                  <c:v>46082</c:v>
                </c:pt>
                <c:pt idx="7" formatCode="mmm\-yy">
                  <c:v>46113</c:v>
                </c:pt>
                <c:pt idx="8" formatCode="mmm\-yy">
                  <c:v>46143</c:v>
                </c:pt>
                <c:pt idx="9" formatCode="mmm\-yy">
                  <c:v>46174</c:v>
                </c:pt>
                <c:pt idx="10" formatCode="mmm\-yy">
                  <c:v>46204</c:v>
                </c:pt>
                <c:pt idx="11" formatCode="mmm\-yy">
                  <c:v>46235</c:v>
                </c:pt>
                <c:pt idx="12" formatCode="mmm\-yy">
                  <c:v>46266</c:v>
                </c:pt>
                <c:pt idx="13" formatCode="mmm\-yy">
                  <c:v>46296</c:v>
                </c:pt>
                <c:pt idx="14" formatCode="mmm\-yy">
                  <c:v>46327</c:v>
                </c:pt>
                <c:pt idx="15" formatCode="mmm\-yy">
                  <c:v>46357</c:v>
                </c:pt>
              </c:numCache>
            </c:numRef>
          </c:cat>
          <c:val>
            <c:numRef>
              <c:extLst>
                <c:ext xmlns:c15="http://schemas.microsoft.com/office/drawing/2012/chart" uri="{02D57815-91ED-43cb-92C2-25804820EDAC}">
                  <c15:fullRef>
                    <c15:sqref>SEGUIMIENTO!$G$48:$G$263</c15:sqref>
                  </c15:fullRef>
                </c:ext>
              </c:extLst>
              <c:f>SEGUIMIENTO!$G$48:$G$232</c:f>
              <c:numCache>
                <c:formatCode>#,##0</c:formatCode>
                <c:ptCount val="17"/>
                <c:pt idx="0">
                  <c:v>0</c:v>
                </c:pt>
                <c:pt idx="1">
                  <c:v>0</c:v>
                </c:pt>
                <c:pt idx="2">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5-3F8F-4B04-B8F6-9AD35C5E26C8}"/>
            </c:ext>
          </c:extLst>
        </c:ser>
        <c:dLbls>
          <c:showLegendKey val="0"/>
          <c:showVal val="0"/>
          <c:showCatName val="0"/>
          <c:showSerName val="0"/>
          <c:showPercent val="0"/>
          <c:showBubbleSize val="0"/>
        </c:dLbls>
        <c:marker val="1"/>
        <c:smooth val="0"/>
        <c:axId val="-1692998928"/>
        <c:axId val="-1692997840"/>
      </c:lineChart>
      <c:lineChart>
        <c:grouping val="standard"/>
        <c:varyColors val="0"/>
        <c:ser>
          <c:idx val="0"/>
          <c:order val="1"/>
          <c:tx>
            <c:strRef>
              <c:f>SEGUIMIENTO!$D$47</c:f>
              <c:strCache>
                <c:ptCount val="1"/>
                <c:pt idx="0">
                  <c:v>Objetivo ≥</c:v>
                </c:pt>
              </c:strCache>
            </c:strRef>
          </c:tx>
          <c:spPr>
            <a:ln w="38100">
              <a:solidFill>
                <a:schemeClr val="tx1"/>
              </a:solidFill>
            </a:ln>
          </c:spPr>
          <c:marker>
            <c:symbol val="none"/>
          </c:marker>
          <c:cat>
            <c:numRef>
              <c:extLst>
                <c:ext xmlns:c15="http://schemas.microsoft.com/office/drawing/2012/chart" uri="{02D57815-91ED-43cb-92C2-25804820EDAC}">
                  <c15:fullRef>
                    <c15:sqref>SEGUIMIENTO!$B$48:$B$263</c15:sqref>
                  </c15:fullRef>
                </c:ext>
              </c:extLst>
              <c:f>SEGUIMIENTO!$B$48:$B$232</c:f>
              <c:numCache>
                <c:formatCode>General</c:formatCode>
                <c:ptCount val="17"/>
                <c:pt idx="0">
                  <c:v>2024</c:v>
                </c:pt>
                <c:pt idx="1">
                  <c:v>2025</c:v>
                </c:pt>
                <c:pt idx="2">
                  <c:v>2026</c:v>
                </c:pt>
                <c:pt idx="4" formatCode="mmm\-yy">
                  <c:v>46023</c:v>
                </c:pt>
                <c:pt idx="5" formatCode="mmm\-yy">
                  <c:v>46054</c:v>
                </c:pt>
                <c:pt idx="6" formatCode="mmm\-yy">
                  <c:v>46082</c:v>
                </c:pt>
                <c:pt idx="7" formatCode="mmm\-yy">
                  <c:v>46113</c:v>
                </c:pt>
                <c:pt idx="8" formatCode="mmm\-yy">
                  <c:v>46143</c:v>
                </c:pt>
                <c:pt idx="9" formatCode="mmm\-yy">
                  <c:v>46174</c:v>
                </c:pt>
                <c:pt idx="10" formatCode="mmm\-yy">
                  <c:v>46204</c:v>
                </c:pt>
                <c:pt idx="11" formatCode="mmm\-yy">
                  <c:v>46235</c:v>
                </c:pt>
                <c:pt idx="12" formatCode="mmm\-yy">
                  <c:v>46266</c:v>
                </c:pt>
                <c:pt idx="13" formatCode="mmm\-yy">
                  <c:v>46296</c:v>
                </c:pt>
                <c:pt idx="14" formatCode="mmm\-yy">
                  <c:v>46327</c:v>
                </c:pt>
                <c:pt idx="15" formatCode="mmm\-yy">
                  <c:v>46357</c:v>
                </c:pt>
              </c:numCache>
            </c:numRef>
          </c:cat>
          <c:val>
            <c:numRef>
              <c:extLst>
                <c:ext xmlns:c15="http://schemas.microsoft.com/office/drawing/2012/chart" uri="{02D57815-91ED-43cb-92C2-25804820EDAC}">
                  <c15:fullRef>
                    <c15:sqref>SEGUIMIENTO!$D$48:$D$263</c15:sqref>
                  </c15:fullRef>
                </c:ext>
              </c:extLst>
              <c:f>SEGUIMIENTO!$D$48:$D$232</c:f>
              <c:numCache>
                <c:formatCode>#,##0</c:formatCode>
                <c:ptCount val="17"/>
                <c:pt idx="0">
                  <c:v>0</c:v>
                </c:pt>
                <c:pt idx="1">
                  <c:v>0</c:v>
                </c:pt>
                <c:pt idx="2">
                  <c:v>0</c:v>
                </c:pt>
                <c:pt idx="4">
                  <c:v>2</c:v>
                </c:pt>
                <c:pt idx="5">
                  <c:v>2</c:v>
                </c:pt>
                <c:pt idx="6">
                  <c:v>2</c:v>
                </c:pt>
                <c:pt idx="7">
                  <c:v>2</c:v>
                </c:pt>
                <c:pt idx="8">
                  <c:v>2</c:v>
                </c:pt>
                <c:pt idx="9">
                  <c:v>2</c:v>
                </c:pt>
                <c:pt idx="10">
                  <c:v>2</c:v>
                </c:pt>
                <c:pt idx="11">
                  <c:v>2</c:v>
                </c:pt>
                <c:pt idx="12">
                  <c:v>2</c:v>
                </c:pt>
                <c:pt idx="13">
                  <c:v>2</c:v>
                </c:pt>
                <c:pt idx="14">
                  <c:v>2</c:v>
                </c:pt>
                <c:pt idx="15">
                  <c:v>2</c:v>
                </c:pt>
              </c:numCache>
            </c:numRef>
          </c:val>
          <c:smooth val="0"/>
          <c:extLst>
            <c:ext xmlns:c16="http://schemas.microsoft.com/office/drawing/2014/chart" uri="{C3380CC4-5D6E-409C-BE32-E72D297353CC}">
              <c16:uniqueId val="{00000008-3F8F-4B04-B8F6-9AD35C5E26C8}"/>
            </c:ext>
          </c:extLst>
        </c:ser>
        <c:dLbls>
          <c:showLegendKey val="0"/>
          <c:showVal val="0"/>
          <c:showCatName val="0"/>
          <c:showSerName val="0"/>
          <c:showPercent val="0"/>
          <c:showBubbleSize val="0"/>
        </c:dLbls>
        <c:marker val="1"/>
        <c:smooth val="0"/>
        <c:axId val="-1693005456"/>
        <c:axId val="-1692994576"/>
      </c:lineChart>
      <c:catAx>
        <c:axId val="-169299892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200" b="0" i="0" u="none" strike="noStrike" baseline="0">
                <a:solidFill>
                  <a:srgbClr val="000000"/>
                </a:solidFill>
                <a:latin typeface="Work Sans" panose="00000500000000000000" pitchFamily="2" charset="0"/>
                <a:ea typeface="Arial"/>
                <a:cs typeface="Arial"/>
              </a:defRPr>
            </a:pPr>
            <a:endParaRPr lang="es-AR"/>
          </a:p>
        </c:txPr>
        <c:crossAx val="-1692997840"/>
        <c:crosses val="autoZero"/>
        <c:auto val="0"/>
        <c:lblAlgn val="ctr"/>
        <c:lblOffset val="100"/>
        <c:tickLblSkip val="1"/>
        <c:tickMarkSkip val="1"/>
        <c:noMultiLvlLbl val="0"/>
      </c:catAx>
      <c:valAx>
        <c:axId val="-1692997840"/>
        <c:scaling>
          <c:orientation val="minMax"/>
          <c:max val="10"/>
          <c:min val="0"/>
        </c:scaling>
        <c:delete val="0"/>
        <c:axPos val="l"/>
        <c:title>
          <c:tx>
            <c:rich>
              <a:bodyPr/>
              <a:lstStyle/>
              <a:p>
                <a:pPr>
                  <a:defRPr sz="1400" b="0">
                    <a:latin typeface="Work Sans" panose="00000500000000000000" pitchFamily="2" charset="0"/>
                  </a:defRPr>
                </a:pPr>
                <a:r>
                  <a:rPr lang="es-AR"/>
                  <a:t>Mejoras</a:t>
                </a:r>
                <a:r>
                  <a:rPr lang="es-AR" baseline="0"/>
                  <a:t> Implementadas</a:t>
                </a:r>
                <a:endParaRPr lang="es-AR"/>
              </a:p>
            </c:rich>
          </c:tx>
          <c:layout>
            <c:manualLayout>
              <c:xMode val="edge"/>
              <c:yMode val="edge"/>
              <c:x val="9.4381476172735804E-3"/>
              <c:y val="0.28090127001864795"/>
            </c:manualLayout>
          </c:layout>
          <c:overlay val="0"/>
        </c:title>
        <c:numFmt formatCode="#,##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Work Sans" panose="00000500000000000000" pitchFamily="2" charset="0"/>
                <a:ea typeface="Arial"/>
                <a:cs typeface="Arial"/>
              </a:defRPr>
            </a:pPr>
            <a:endParaRPr lang="es-AR"/>
          </a:p>
        </c:txPr>
        <c:crossAx val="-1692998928"/>
        <c:crosses val="autoZero"/>
        <c:crossBetween val="between"/>
        <c:majorUnit val="10"/>
        <c:minorUnit val="10"/>
      </c:valAx>
      <c:valAx>
        <c:axId val="-1692994576"/>
        <c:scaling>
          <c:orientation val="minMax"/>
        </c:scaling>
        <c:delete val="1"/>
        <c:axPos val="r"/>
        <c:numFmt formatCode="#,##0" sourceLinked="1"/>
        <c:majorTickMark val="out"/>
        <c:minorTickMark val="none"/>
        <c:tickLblPos val="nextTo"/>
        <c:crossAx val="-1693005456"/>
        <c:crosses val="max"/>
        <c:crossBetween val="between"/>
      </c:valAx>
      <c:catAx>
        <c:axId val="-1693005456"/>
        <c:scaling>
          <c:orientation val="minMax"/>
        </c:scaling>
        <c:delete val="1"/>
        <c:axPos val="b"/>
        <c:numFmt formatCode="General" sourceLinked="1"/>
        <c:majorTickMark val="out"/>
        <c:minorTickMark val="none"/>
        <c:tickLblPos val="nextTo"/>
        <c:crossAx val="-1692994576"/>
        <c:crosses val="autoZero"/>
        <c:auto val="0"/>
        <c:lblAlgn val="ctr"/>
        <c:lblOffset val="100"/>
        <c:noMultiLvlLbl val="0"/>
      </c:catAx>
      <c:spPr>
        <a:noFill/>
        <a:ln w="25400">
          <a:noFill/>
        </a:ln>
      </c:spPr>
    </c:plotArea>
    <c:legend>
      <c:legendPos val="b"/>
      <c:layout>
        <c:manualLayout>
          <c:xMode val="edge"/>
          <c:yMode val="edge"/>
          <c:x val="8.8267716535433069E-2"/>
          <c:y val="0.91384211432053519"/>
          <c:w val="0.70229269835246488"/>
          <c:h val="4.9480425295454024E-2"/>
        </c:manualLayout>
      </c:layout>
      <c:overlay val="0"/>
      <c:txPr>
        <a:bodyPr/>
        <a:lstStyle/>
        <a:p>
          <a:pPr>
            <a:defRPr sz="1600" b="1">
              <a:latin typeface="Darker Grotesque" pitchFamily="2" charset="0"/>
            </a:defRPr>
          </a:pPr>
          <a:endParaRPr lang="es-AR"/>
        </a:p>
      </c:txPr>
    </c:legend>
    <c:plotVisOnly val="1"/>
    <c:dispBlanksAs val="gap"/>
    <c:showDLblsOverMax val="0"/>
  </c:chart>
  <c:spPr>
    <a:solidFill>
      <a:srgbClr val="FFFFFF"/>
    </a:solidFill>
    <a:ln w="28575">
      <a:solidFill>
        <a:srgbClr val="000000"/>
      </a:solidFill>
      <a:prstDash val="solid"/>
    </a:ln>
  </c:spPr>
  <c:txPr>
    <a:bodyPr/>
    <a:lstStyle/>
    <a:p>
      <a:pPr>
        <a:defRPr sz="1825"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paperSize="9" orientation="landscape"/>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Work Sans" panose="00000500000000000000" pitchFamily="2" charset="0"/>
                <a:ea typeface="+mn-ea"/>
                <a:cs typeface="+mn-cs"/>
              </a:defRPr>
            </a:pPr>
            <a:r>
              <a:rPr lang="es-AR" sz="1600" b="1" u="none" baseline="0">
                <a:solidFill>
                  <a:sysClr val="windowText" lastClr="000000"/>
                </a:solidFill>
                <a:latin typeface="Work Sans" panose="00000500000000000000" pitchFamily="2" charset="0"/>
              </a:rPr>
              <a:t>Seguimiento de Mejoras</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Work Sans" panose="00000500000000000000" pitchFamily="2" charset="0"/>
              <a:ea typeface="+mn-ea"/>
              <a:cs typeface="+mn-cs"/>
            </a:defRPr>
          </a:pPr>
          <a:endParaRPr lang="es-AR"/>
        </a:p>
      </c:txPr>
    </c:title>
    <c:autoTitleDeleted val="0"/>
    <c:plotArea>
      <c:layout>
        <c:manualLayout>
          <c:layoutTarget val="inner"/>
          <c:xMode val="edge"/>
          <c:yMode val="edge"/>
          <c:x val="0.21909728847037857"/>
          <c:y val="0.28521944762677776"/>
          <c:w val="0.7414171651388487"/>
          <c:h val="0.61233449705802567"/>
        </c:manualLayout>
      </c:layout>
      <c:barChart>
        <c:barDir val="bar"/>
        <c:grouping val="clustered"/>
        <c:varyColors val="0"/>
        <c:ser>
          <c:idx val="0"/>
          <c:order val="0"/>
          <c:tx>
            <c:strRef>
              <c:f>SEGUIMIENTO!$B$266:$E$266</c:f>
              <c:strCache>
                <c:ptCount val="1"/>
                <c:pt idx="0">
                  <c:v>Eje horizontal valor</c:v>
                </c:pt>
              </c:strCache>
            </c:strRef>
          </c:tx>
          <c:spPr>
            <a:solidFill>
              <a:srgbClr val="003B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Work Sans" panose="00000500000000000000" pitchFamily="2" charset="0"/>
                    <a:ea typeface="+mn-ea"/>
                    <a:cs typeface="+mn-cs"/>
                  </a:defRPr>
                </a:pPr>
                <a:endParaRPr lang="es-A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SEGUIMIENTO!$F$267:$F$271</c:f>
              <c:numCache>
                <c:formatCode>General</c:formatCode>
                <c:ptCount val="5"/>
                <c:pt idx="0">
                  <c:v>2</c:v>
                </c:pt>
              </c:numCache>
            </c:numRef>
          </c:cat>
          <c:val>
            <c:numRef>
              <c:f>SEGUIMIENTO!$B$267:$B$271</c:f>
              <c:numCache>
                <c:formatCode>#,##0</c:formatCode>
                <c:ptCount val="5"/>
                <c:pt idx="0">
                  <c:v>2</c:v>
                </c:pt>
                <c:pt idx="1">
                  <c:v>4</c:v>
                </c:pt>
                <c:pt idx="2">
                  <c:v>3</c:v>
                </c:pt>
                <c:pt idx="3">
                  <c:v>4</c:v>
                </c:pt>
                <c:pt idx="4">
                  <c:v>2</c:v>
                </c:pt>
              </c:numCache>
            </c:numRef>
          </c:val>
          <c:extLst>
            <c:ext xmlns:c16="http://schemas.microsoft.com/office/drawing/2014/chart" uri="{C3380CC4-5D6E-409C-BE32-E72D297353CC}">
              <c16:uniqueId val="{00000000-900F-446B-81FD-0F4D0BC14AE1}"/>
            </c:ext>
          </c:extLst>
        </c:ser>
        <c:dLbls>
          <c:showLegendKey val="0"/>
          <c:showVal val="0"/>
          <c:showCatName val="0"/>
          <c:showSerName val="0"/>
          <c:showPercent val="0"/>
          <c:showBubbleSize val="0"/>
        </c:dLbls>
        <c:gapWidth val="182"/>
        <c:axId val="-1690452752"/>
        <c:axId val="-1690450032"/>
      </c:barChart>
      <c:catAx>
        <c:axId val="-1690452752"/>
        <c:scaling>
          <c:orientation val="maxMin"/>
        </c:scaling>
        <c:delete val="0"/>
        <c:axPos val="l"/>
        <c:numFmt formatCode="#,##0" sourceLinked="0"/>
        <c:majorTickMark val="none"/>
        <c:minorTickMark val="none"/>
        <c:tickLblPos val="nextTo"/>
        <c:spPr>
          <a:noFill/>
          <a:ln w="9525" cap="flat" cmpd="sng" algn="ctr">
            <a:solidFill>
              <a:schemeClr val="tx1">
                <a:lumMod val="95000"/>
                <a:lumOff val="5000"/>
              </a:schemeClr>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Work Sans" panose="00000500000000000000" pitchFamily="2" charset="0"/>
                <a:ea typeface="+mn-ea"/>
                <a:cs typeface="+mn-cs"/>
              </a:defRPr>
            </a:pPr>
            <a:endParaRPr lang="es-AR"/>
          </a:p>
        </c:txPr>
        <c:crossAx val="-1690450032"/>
        <c:crosses val="autoZero"/>
        <c:auto val="1"/>
        <c:lblAlgn val="ctr"/>
        <c:lblOffset val="100"/>
        <c:noMultiLvlLbl val="0"/>
      </c:catAx>
      <c:valAx>
        <c:axId val="-1690450032"/>
        <c:scaling>
          <c:orientation val="minMax"/>
        </c:scaling>
        <c:delete val="0"/>
        <c:axPos val="t"/>
        <c:numFmt formatCode="#,##0" sourceLinked="1"/>
        <c:majorTickMark val="none"/>
        <c:minorTickMark val="none"/>
        <c:tickLblPos val="low"/>
        <c:spPr>
          <a:noFill/>
          <a:ln>
            <a:solidFill>
              <a:schemeClr val="tx1">
                <a:lumMod val="95000"/>
                <a:lumOff val="5000"/>
              </a:schemeClr>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Work Sans" panose="00000500000000000000" pitchFamily="2" charset="0"/>
                <a:ea typeface="+mn-ea"/>
                <a:cs typeface="+mn-cs"/>
              </a:defRPr>
            </a:pPr>
            <a:endParaRPr lang="es-AR"/>
          </a:p>
        </c:txPr>
        <c:crossAx val="-1690452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Work Sans" panose="00000500000000000000" pitchFamily="2" charset="0"/>
              <a:ea typeface="+mn-ea"/>
              <a:cs typeface="+mn-cs"/>
            </a:defRPr>
          </a:pPr>
          <a:endParaRPr lang="es-AR"/>
        </a:p>
      </c:txPr>
    </c:legend>
    <c:plotVisOnly val="1"/>
    <c:dispBlanksAs val="gap"/>
    <c:showDLblsOverMax val="0"/>
  </c:chart>
  <c:spPr>
    <a:solidFill>
      <a:schemeClr val="bg1"/>
    </a:solidFill>
    <a:ln w="28575" cap="flat" cmpd="sng" algn="ctr">
      <a:solidFill>
        <a:schemeClr val="tx1">
          <a:lumMod val="95000"/>
          <a:lumOff val="5000"/>
        </a:schemeClr>
      </a:solidFill>
      <a:round/>
    </a:ln>
    <a:effectLst/>
  </c:spPr>
  <c:txPr>
    <a:bodyPr/>
    <a:lstStyle/>
    <a:p>
      <a:pPr>
        <a:defRPr/>
      </a:pPr>
      <a:endParaRPr lang="es-A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8" Type="http://schemas.openxmlformats.org/officeDocument/2006/relationships/image" Target="../media/image10.svg"/><Relationship Id="rId13" Type="http://schemas.openxmlformats.org/officeDocument/2006/relationships/chart" Target="../charts/chart1.xml"/><Relationship Id="rId3" Type="http://schemas.openxmlformats.org/officeDocument/2006/relationships/image" Target="../media/image5.png"/><Relationship Id="rId7" Type="http://schemas.openxmlformats.org/officeDocument/2006/relationships/image" Target="../media/image9.png"/><Relationship Id="rId12" Type="http://schemas.openxmlformats.org/officeDocument/2006/relationships/image" Target="../media/image14.svg"/><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image" Target="../media/image8.svg"/><Relationship Id="rId11" Type="http://schemas.openxmlformats.org/officeDocument/2006/relationships/image" Target="../media/image13.png"/><Relationship Id="rId5" Type="http://schemas.openxmlformats.org/officeDocument/2006/relationships/image" Target="../media/image7.png"/><Relationship Id="rId10" Type="http://schemas.openxmlformats.org/officeDocument/2006/relationships/image" Target="../media/image12.svg"/><Relationship Id="rId4" Type="http://schemas.openxmlformats.org/officeDocument/2006/relationships/image" Target="../media/image6.svg"/><Relationship Id="rId9" Type="http://schemas.openxmlformats.org/officeDocument/2006/relationships/image" Target="../media/image11.png"/><Relationship Id="rId14"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5</xdr:col>
      <xdr:colOff>4626429</xdr:colOff>
      <xdr:row>0</xdr:row>
      <xdr:rowOff>160110</xdr:rowOff>
    </xdr:from>
    <xdr:to>
      <xdr:col>6</xdr:col>
      <xdr:colOff>12088</xdr:colOff>
      <xdr:row>0</xdr:row>
      <xdr:rowOff>598714</xdr:rowOff>
    </xdr:to>
    <xdr:sp macro="" textlink="">
      <xdr:nvSpPr>
        <xdr:cNvPr id="2" name="Rectángulo: esquinas redondeadas 1">
          <a:extLst>
            <a:ext uri="{FF2B5EF4-FFF2-40B4-BE49-F238E27FC236}">
              <a16:creationId xmlns:a16="http://schemas.microsoft.com/office/drawing/2014/main" id="{7B99558B-A21F-ABB7-C26B-5E517C92E469}"/>
            </a:ext>
          </a:extLst>
        </xdr:cNvPr>
        <xdr:cNvSpPr/>
      </xdr:nvSpPr>
      <xdr:spPr>
        <a:xfrm>
          <a:off x="9130393" y="160110"/>
          <a:ext cx="923766" cy="43860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twoCellAnchor>
    <xdr:from>
      <xdr:col>6</xdr:col>
      <xdr:colOff>183243</xdr:colOff>
      <xdr:row>0</xdr:row>
      <xdr:rowOff>160110</xdr:rowOff>
    </xdr:from>
    <xdr:to>
      <xdr:col>6</xdr:col>
      <xdr:colOff>1097484</xdr:colOff>
      <xdr:row>0</xdr:row>
      <xdr:rowOff>598714</xdr:rowOff>
    </xdr:to>
    <xdr:sp macro="[0]!mar" textlink="">
      <xdr:nvSpPr>
        <xdr:cNvPr id="3" name="Rectángulo: esquinas redondeadas 2">
          <a:extLst>
            <a:ext uri="{FF2B5EF4-FFF2-40B4-BE49-F238E27FC236}">
              <a16:creationId xmlns:a16="http://schemas.microsoft.com/office/drawing/2014/main" id="{77165070-170F-D997-A7E6-C3D46E37BA2A}"/>
            </a:ext>
          </a:extLst>
        </xdr:cNvPr>
        <xdr:cNvSpPr/>
      </xdr:nvSpPr>
      <xdr:spPr>
        <a:xfrm>
          <a:off x="10225314" y="160110"/>
          <a:ext cx="914241" cy="43860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AR" sz="1400"/>
            <a:t>mar</a:t>
          </a:r>
        </a:p>
      </xdr:txBody>
    </xdr:sp>
    <xdr:clientData/>
  </xdr:twoCellAnchor>
  <xdr:twoCellAnchor>
    <xdr:from>
      <xdr:col>6</xdr:col>
      <xdr:colOff>1255032</xdr:colOff>
      <xdr:row>0</xdr:row>
      <xdr:rowOff>163285</xdr:rowOff>
    </xdr:from>
    <xdr:to>
      <xdr:col>6</xdr:col>
      <xdr:colOff>2169273</xdr:colOff>
      <xdr:row>0</xdr:row>
      <xdr:rowOff>601889</xdr:rowOff>
    </xdr:to>
    <xdr:sp macro="[0]!abr" textlink="">
      <xdr:nvSpPr>
        <xdr:cNvPr id="10" name="Rectángulo: esquinas redondeadas 9">
          <a:extLst>
            <a:ext uri="{FF2B5EF4-FFF2-40B4-BE49-F238E27FC236}">
              <a16:creationId xmlns:a16="http://schemas.microsoft.com/office/drawing/2014/main" id="{58CC61DF-8AA6-A647-D59A-B761525FD298}"/>
            </a:ext>
          </a:extLst>
        </xdr:cNvPr>
        <xdr:cNvSpPr/>
      </xdr:nvSpPr>
      <xdr:spPr>
        <a:xfrm>
          <a:off x="11297103" y="163285"/>
          <a:ext cx="914241" cy="43860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AR" sz="1400"/>
            <a:t>abr</a:t>
          </a:r>
        </a:p>
      </xdr:txBody>
    </xdr:sp>
    <xdr:clientData/>
  </xdr:twoCellAnchor>
  <xdr:twoCellAnchor>
    <xdr:from>
      <xdr:col>6</xdr:col>
      <xdr:colOff>2357210</xdr:colOff>
      <xdr:row>0</xdr:row>
      <xdr:rowOff>160110</xdr:rowOff>
    </xdr:from>
    <xdr:to>
      <xdr:col>6</xdr:col>
      <xdr:colOff>3271451</xdr:colOff>
      <xdr:row>0</xdr:row>
      <xdr:rowOff>598714</xdr:rowOff>
    </xdr:to>
    <xdr:sp macro="[0]!may" textlink="">
      <xdr:nvSpPr>
        <xdr:cNvPr id="11" name="Rectángulo: esquinas redondeadas 10">
          <a:extLst>
            <a:ext uri="{FF2B5EF4-FFF2-40B4-BE49-F238E27FC236}">
              <a16:creationId xmlns:a16="http://schemas.microsoft.com/office/drawing/2014/main" id="{2EAD4708-4337-40FE-D93E-E885C8A095E4}"/>
            </a:ext>
          </a:extLst>
        </xdr:cNvPr>
        <xdr:cNvSpPr/>
      </xdr:nvSpPr>
      <xdr:spPr>
        <a:xfrm>
          <a:off x="12399281" y="160110"/>
          <a:ext cx="914241" cy="43860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AR" sz="1400"/>
            <a:t>may</a:t>
          </a:r>
        </a:p>
      </xdr:txBody>
    </xdr:sp>
    <xdr:clientData/>
  </xdr:twoCellAnchor>
  <xdr:twoCellAnchor>
    <xdr:from>
      <xdr:col>6</xdr:col>
      <xdr:colOff>3442607</xdr:colOff>
      <xdr:row>0</xdr:row>
      <xdr:rowOff>163285</xdr:rowOff>
    </xdr:from>
    <xdr:to>
      <xdr:col>6</xdr:col>
      <xdr:colOff>4356848</xdr:colOff>
      <xdr:row>0</xdr:row>
      <xdr:rowOff>601889</xdr:rowOff>
    </xdr:to>
    <xdr:sp macro="[0]!jun" textlink="">
      <xdr:nvSpPr>
        <xdr:cNvPr id="12" name="Rectángulo: esquinas redondeadas 11">
          <a:extLst>
            <a:ext uri="{FF2B5EF4-FFF2-40B4-BE49-F238E27FC236}">
              <a16:creationId xmlns:a16="http://schemas.microsoft.com/office/drawing/2014/main" id="{955CB3FC-AFC1-7B9F-44EB-A0D26CC2A634}"/>
            </a:ext>
          </a:extLst>
        </xdr:cNvPr>
        <xdr:cNvSpPr/>
      </xdr:nvSpPr>
      <xdr:spPr>
        <a:xfrm>
          <a:off x="13484678" y="163285"/>
          <a:ext cx="914241" cy="43860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AR" sz="1400"/>
            <a:t>jun</a:t>
          </a:r>
        </a:p>
      </xdr:txBody>
    </xdr:sp>
    <xdr:clientData/>
  </xdr:twoCellAnchor>
  <xdr:twoCellAnchor>
    <xdr:from>
      <xdr:col>6</xdr:col>
      <xdr:colOff>4493533</xdr:colOff>
      <xdr:row>0</xdr:row>
      <xdr:rowOff>160110</xdr:rowOff>
    </xdr:from>
    <xdr:to>
      <xdr:col>7</xdr:col>
      <xdr:colOff>149678</xdr:colOff>
      <xdr:row>0</xdr:row>
      <xdr:rowOff>598714</xdr:rowOff>
    </xdr:to>
    <xdr:sp macro="[0]!jul" textlink="">
      <xdr:nvSpPr>
        <xdr:cNvPr id="13" name="Rectángulo: esquinas redondeadas 12">
          <a:extLst>
            <a:ext uri="{FF2B5EF4-FFF2-40B4-BE49-F238E27FC236}">
              <a16:creationId xmlns:a16="http://schemas.microsoft.com/office/drawing/2014/main" id="{C770F21A-2A8D-AA91-931E-9B4002032B95}"/>
            </a:ext>
          </a:extLst>
        </xdr:cNvPr>
        <xdr:cNvSpPr/>
      </xdr:nvSpPr>
      <xdr:spPr>
        <a:xfrm>
          <a:off x="14535604" y="160110"/>
          <a:ext cx="908503" cy="43860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AR" sz="1400"/>
            <a:t>jul</a:t>
          </a:r>
        </a:p>
      </xdr:txBody>
    </xdr:sp>
    <xdr:clientData/>
  </xdr:twoCellAnchor>
  <xdr:twoCellAnchor>
    <xdr:from>
      <xdr:col>7</xdr:col>
      <xdr:colOff>278495</xdr:colOff>
      <xdr:row>0</xdr:row>
      <xdr:rowOff>160110</xdr:rowOff>
    </xdr:from>
    <xdr:to>
      <xdr:col>7</xdr:col>
      <xdr:colOff>1189561</xdr:colOff>
      <xdr:row>0</xdr:row>
      <xdr:rowOff>598714</xdr:rowOff>
    </xdr:to>
    <xdr:sp macro="[0]!ago" textlink="">
      <xdr:nvSpPr>
        <xdr:cNvPr id="14" name="Rectángulo: esquinas redondeadas 13">
          <a:extLst>
            <a:ext uri="{FF2B5EF4-FFF2-40B4-BE49-F238E27FC236}">
              <a16:creationId xmlns:a16="http://schemas.microsoft.com/office/drawing/2014/main" id="{AAFE9121-BFA3-B91C-616E-D1F16D12A06E}"/>
            </a:ext>
          </a:extLst>
        </xdr:cNvPr>
        <xdr:cNvSpPr/>
      </xdr:nvSpPr>
      <xdr:spPr>
        <a:xfrm>
          <a:off x="15572924" y="160110"/>
          <a:ext cx="911066" cy="43860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AR" sz="1400"/>
            <a:t>ago</a:t>
          </a:r>
        </a:p>
      </xdr:txBody>
    </xdr:sp>
    <xdr:clientData/>
  </xdr:twoCellAnchor>
  <xdr:twoCellAnchor>
    <xdr:from>
      <xdr:col>8</xdr:col>
      <xdr:colOff>27216</xdr:colOff>
      <xdr:row>0</xdr:row>
      <xdr:rowOff>163285</xdr:rowOff>
    </xdr:from>
    <xdr:to>
      <xdr:col>9</xdr:col>
      <xdr:colOff>112328</xdr:colOff>
      <xdr:row>0</xdr:row>
      <xdr:rowOff>601889</xdr:rowOff>
    </xdr:to>
    <xdr:sp macro="[0]!sep" textlink="">
      <xdr:nvSpPr>
        <xdr:cNvPr id="15" name="Rectángulo: esquinas redondeadas 14">
          <a:extLst>
            <a:ext uri="{FF2B5EF4-FFF2-40B4-BE49-F238E27FC236}">
              <a16:creationId xmlns:a16="http://schemas.microsoft.com/office/drawing/2014/main" id="{774C5C3F-21AA-858F-BBC9-346924801762}"/>
            </a:ext>
          </a:extLst>
        </xdr:cNvPr>
        <xdr:cNvSpPr/>
      </xdr:nvSpPr>
      <xdr:spPr>
        <a:xfrm>
          <a:off x="16668752" y="163285"/>
          <a:ext cx="901540" cy="43860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AR" sz="1400"/>
            <a:t>sep</a:t>
          </a:r>
        </a:p>
      </xdr:txBody>
    </xdr:sp>
    <xdr:clientData/>
  </xdr:twoCellAnchor>
  <xdr:twoCellAnchor>
    <xdr:from>
      <xdr:col>9</xdr:col>
      <xdr:colOff>283484</xdr:colOff>
      <xdr:row>0</xdr:row>
      <xdr:rowOff>160110</xdr:rowOff>
    </xdr:from>
    <xdr:to>
      <xdr:col>10</xdr:col>
      <xdr:colOff>136368</xdr:colOff>
      <xdr:row>0</xdr:row>
      <xdr:rowOff>598714</xdr:rowOff>
    </xdr:to>
    <xdr:sp macro="[0]!oct" textlink="">
      <xdr:nvSpPr>
        <xdr:cNvPr id="16" name="Rectángulo: esquinas redondeadas 15">
          <a:extLst>
            <a:ext uri="{FF2B5EF4-FFF2-40B4-BE49-F238E27FC236}">
              <a16:creationId xmlns:a16="http://schemas.microsoft.com/office/drawing/2014/main" id="{16356B07-5EF0-FC21-A2B1-B6E15DFF2884}"/>
            </a:ext>
          </a:extLst>
        </xdr:cNvPr>
        <xdr:cNvSpPr/>
      </xdr:nvSpPr>
      <xdr:spPr>
        <a:xfrm>
          <a:off x="17741448" y="160110"/>
          <a:ext cx="914241" cy="43860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AR" sz="1400"/>
            <a:t>oct</a:t>
          </a:r>
        </a:p>
      </xdr:txBody>
    </xdr:sp>
    <xdr:clientData/>
  </xdr:twoCellAnchor>
  <xdr:twoCellAnchor>
    <xdr:from>
      <xdr:col>5</xdr:col>
      <xdr:colOff>4626429</xdr:colOff>
      <xdr:row>0</xdr:row>
      <xdr:rowOff>160110</xdr:rowOff>
    </xdr:from>
    <xdr:to>
      <xdr:col>6</xdr:col>
      <xdr:colOff>8913</xdr:colOff>
      <xdr:row>0</xdr:row>
      <xdr:rowOff>598714</xdr:rowOff>
    </xdr:to>
    <xdr:sp macro="[0]!feb" textlink="">
      <xdr:nvSpPr>
        <xdr:cNvPr id="17" name="Rectángulo: esquinas redondeadas 16">
          <a:extLst>
            <a:ext uri="{FF2B5EF4-FFF2-40B4-BE49-F238E27FC236}">
              <a16:creationId xmlns:a16="http://schemas.microsoft.com/office/drawing/2014/main" id="{B2FFDC17-BF9D-496F-A7E5-ECE3BD6E4C20}"/>
            </a:ext>
          </a:extLst>
        </xdr:cNvPr>
        <xdr:cNvSpPr/>
      </xdr:nvSpPr>
      <xdr:spPr>
        <a:xfrm>
          <a:off x="9130393" y="160110"/>
          <a:ext cx="920591" cy="43860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AR" sz="1400"/>
            <a:t>feb</a:t>
          </a:r>
        </a:p>
      </xdr:txBody>
    </xdr:sp>
    <xdr:clientData/>
  </xdr:twoCellAnchor>
  <xdr:twoCellAnchor>
    <xdr:from>
      <xdr:col>5</xdr:col>
      <xdr:colOff>3537858</xdr:colOff>
      <xdr:row>0</xdr:row>
      <xdr:rowOff>163285</xdr:rowOff>
    </xdr:from>
    <xdr:to>
      <xdr:col>5</xdr:col>
      <xdr:colOff>4461624</xdr:colOff>
      <xdr:row>0</xdr:row>
      <xdr:rowOff>601889</xdr:rowOff>
    </xdr:to>
    <xdr:sp macro="[0]!Ene" textlink="">
      <xdr:nvSpPr>
        <xdr:cNvPr id="18" name="Rectángulo: esquinas redondeadas 17">
          <a:extLst>
            <a:ext uri="{FF2B5EF4-FFF2-40B4-BE49-F238E27FC236}">
              <a16:creationId xmlns:a16="http://schemas.microsoft.com/office/drawing/2014/main" id="{720EEDF2-74F8-9AF4-DF8E-29AFA9A3332E}"/>
            </a:ext>
          </a:extLst>
        </xdr:cNvPr>
        <xdr:cNvSpPr/>
      </xdr:nvSpPr>
      <xdr:spPr>
        <a:xfrm>
          <a:off x="8041822" y="163285"/>
          <a:ext cx="923766" cy="43860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AR" sz="1400"/>
            <a:t>ene</a:t>
          </a:r>
        </a:p>
      </xdr:txBody>
    </xdr:sp>
    <xdr:clientData/>
  </xdr:twoCellAnchor>
  <xdr:twoCellAnchor>
    <xdr:from>
      <xdr:col>10</xdr:col>
      <xdr:colOff>302534</xdr:colOff>
      <xdr:row>0</xdr:row>
      <xdr:rowOff>160110</xdr:rowOff>
    </xdr:from>
    <xdr:to>
      <xdr:col>10</xdr:col>
      <xdr:colOff>1197726</xdr:colOff>
      <xdr:row>0</xdr:row>
      <xdr:rowOff>598714</xdr:rowOff>
    </xdr:to>
    <xdr:sp macro="[0]!nov" textlink="">
      <xdr:nvSpPr>
        <xdr:cNvPr id="19" name="Rectángulo: esquinas redondeadas 18">
          <a:extLst>
            <a:ext uri="{FF2B5EF4-FFF2-40B4-BE49-F238E27FC236}">
              <a16:creationId xmlns:a16="http://schemas.microsoft.com/office/drawing/2014/main" id="{EE5602B4-5A6E-D3BE-FADF-35A38B9A0F24}"/>
            </a:ext>
          </a:extLst>
        </xdr:cNvPr>
        <xdr:cNvSpPr/>
      </xdr:nvSpPr>
      <xdr:spPr>
        <a:xfrm>
          <a:off x="18821855" y="160110"/>
          <a:ext cx="895192" cy="43860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AR" sz="1400"/>
            <a:t>nov</a:t>
          </a:r>
        </a:p>
      </xdr:txBody>
    </xdr:sp>
    <xdr:clientData/>
  </xdr:twoCellAnchor>
  <xdr:twoCellAnchor>
    <xdr:from>
      <xdr:col>10</xdr:col>
      <xdr:colOff>1368882</xdr:colOff>
      <xdr:row>0</xdr:row>
      <xdr:rowOff>160110</xdr:rowOff>
    </xdr:from>
    <xdr:to>
      <xdr:col>11</xdr:col>
      <xdr:colOff>880953</xdr:colOff>
      <xdr:row>0</xdr:row>
      <xdr:rowOff>598714</xdr:rowOff>
    </xdr:to>
    <xdr:sp macro="[0]!dic" textlink="">
      <xdr:nvSpPr>
        <xdr:cNvPr id="20" name="Rectángulo: esquinas redondeadas 19">
          <a:extLst>
            <a:ext uri="{FF2B5EF4-FFF2-40B4-BE49-F238E27FC236}">
              <a16:creationId xmlns:a16="http://schemas.microsoft.com/office/drawing/2014/main" id="{F44A1C30-2ECD-1024-9C30-771598A518FB}"/>
            </a:ext>
          </a:extLst>
        </xdr:cNvPr>
        <xdr:cNvSpPr/>
      </xdr:nvSpPr>
      <xdr:spPr>
        <a:xfrm>
          <a:off x="20146739" y="160110"/>
          <a:ext cx="900000" cy="43860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AR" sz="1400"/>
            <a:t>dic</a:t>
          </a:r>
        </a:p>
      </xdr:txBody>
    </xdr:sp>
    <xdr:clientData/>
  </xdr:twoCellAnchor>
  <xdr:twoCellAnchor>
    <xdr:from>
      <xdr:col>5</xdr:col>
      <xdr:colOff>2486933</xdr:colOff>
      <xdr:row>0</xdr:row>
      <xdr:rowOff>163285</xdr:rowOff>
    </xdr:from>
    <xdr:to>
      <xdr:col>5</xdr:col>
      <xdr:colOff>3420224</xdr:colOff>
      <xdr:row>0</xdr:row>
      <xdr:rowOff>601889</xdr:rowOff>
    </xdr:to>
    <xdr:sp macro="[0]!Limpia" textlink="">
      <xdr:nvSpPr>
        <xdr:cNvPr id="21" name="Rectángulo: esquinas redondeadas 20">
          <a:extLst>
            <a:ext uri="{FF2B5EF4-FFF2-40B4-BE49-F238E27FC236}">
              <a16:creationId xmlns:a16="http://schemas.microsoft.com/office/drawing/2014/main" id="{0AB8F3D7-1EA1-437C-A7B2-1799976D8EA8}"/>
            </a:ext>
          </a:extLst>
        </xdr:cNvPr>
        <xdr:cNvSpPr/>
      </xdr:nvSpPr>
      <xdr:spPr>
        <a:xfrm>
          <a:off x="6990897" y="163285"/>
          <a:ext cx="933291" cy="438604"/>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s-AR" sz="1400">
              <a:solidFill>
                <a:sysClr val="windowText" lastClr="000000"/>
              </a:solidFill>
            </a:rPr>
            <a:t>Limpia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4626429</xdr:colOff>
      <xdr:row>0</xdr:row>
      <xdr:rowOff>160110</xdr:rowOff>
    </xdr:from>
    <xdr:to>
      <xdr:col>6</xdr:col>
      <xdr:colOff>12088</xdr:colOff>
      <xdr:row>0</xdr:row>
      <xdr:rowOff>598714</xdr:rowOff>
    </xdr:to>
    <xdr:sp macro="" textlink="">
      <xdr:nvSpPr>
        <xdr:cNvPr id="2" name="Rectángulo: esquinas redondeadas 1">
          <a:extLst>
            <a:ext uri="{FF2B5EF4-FFF2-40B4-BE49-F238E27FC236}">
              <a16:creationId xmlns:a16="http://schemas.microsoft.com/office/drawing/2014/main" id="{DAE3A2D5-A6FF-45B2-B48E-C8B5DEA215E7}"/>
            </a:ext>
          </a:extLst>
        </xdr:cNvPr>
        <xdr:cNvSpPr/>
      </xdr:nvSpPr>
      <xdr:spPr>
        <a:xfrm>
          <a:off x="9103179" y="163285"/>
          <a:ext cx="926034" cy="43860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twoCellAnchor>
    <xdr:from>
      <xdr:col>6</xdr:col>
      <xdr:colOff>183243</xdr:colOff>
      <xdr:row>0</xdr:row>
      <xdr:rowOff>160110</xdr:rowOff>
    </xdr:from>
    <xdr:to>
      <xdr:col>6</xdr:col>
      <xdr:colOff>1097484</xdr:colOff>
      <xdr:row>0</xdr:row>
      <xdr:rowOff>598714</xdr:rowOff>
    </xdr:to>
    <xdr:sp macro="[0]!mar" textlink="">
      <xdr:nvSpPr>
        <xdr:cNvPr id="3" name="Rectángulo: esquinas redondeadas 2">
          <a:extLst>
            <a:ext uri="{FF2B5EF4-FFF2-40B4-BE49-F238E27FC236}">
              <a16:creationId xmlns:a16="http://schemas.microsoft.com/office/drawing/2014/main" id="{AD329359-8639-4EFC-AB5C-9431D7140B8F}"/>
            </a:ext>
          </a:extLst>
        </xdr:cNvPr>
        <xdr:cNvSpPr/>
      </xdr:nvSpPr>
      <xdr:spPr>
        <a:xfrm>
          <a:off x="10200368" y="163285"/>
          <a:ext cx="914241" cy="43860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AR" sz="1400"/>
            <a:t>mar</a:t>
          </a:r>
        </a:p>
      </xdr:txBody>
    </xdr:sp>
    <xdr:clientData/>
  </xdr:twoCellAnchor>
  <xdr:twoCellAnchor>
    <xdr:from>
      <xdr:col>6</xdr:col>
      <xdr:colOff>1255032</xdr:colOff>
      <xdr:row>0</xdr:row>
      <xdr:rowOff>163285</xdr:rowOff>
    </xdr:from>
    <xdr:to>
      <xdr:col>6</xdr:col>
      <xdr:colOff>2169273</xdr:colOff>
      <xdr:row>0</xdr:row>
      <xdr:rowOff>601889</xdr:rowOff>
    </xdr:to>
    <xdr:sp macro="[0]!abr" textlink="">
      <xdr:nvSpPr>
        <xdr:cNvPr id="4" name="Rectángulo: esquinas redondeadas 3">
          <a:extLst>
            <a:ext uri="{FF2B5EF4-FFF2-40B4-BE49-F238E27FC236}">
              <a16:creationId xmlns:a16="http://schemas.microsoft.com/office/drawing/2014/main" id="{468767FF-6679-4BED-8711-D6ED32D0B0D8}"/>
            </a:ext>
          </a:extLst>
        </xdr:cNvPr>
        <xdr:cNvSpPr/>
      </xdr:nvSpPr>
      <xdr:spPr>
        <a:xfrm>
          <a:off x="11275332" y="160110"/>
          <a:ext cx="914241" cy="43860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AR" sz="1400"/>
            <a:t>abr</a:t>
          </a:r>
        </a:p>
      </xdr:txBody>
    </xdr:sp>
    <xdr:clientData/>
  </xdr:twoCellAnchor>
  <xdr:twoCellAnchor>
    <xdr:from>
      <xdr:col>6</xdr:col>
      <xdr:colOff>2357210</xdr:colOff>
      <xdr:row>0</xdr:row>
      <xdr:rowOff>160110</xdr:rowOff>
    </xdr:from>
    <xdr:to>
      <xdr:col>6</xdr:col>
      <xdr:colOff>3271451</xdr:colOff>
      <xdr:row>0</xdr:row>
      <xdr:rowOff>598714</xdr:rowOff>
    </xdr:to>
    <xdr:sp macro="[0]!may" textlink="">
      <xdr:nvSpPr>
        <xdr:cNvPr id="5" name="Rectángulo: esquinas redondeadas 4">
          <a:extLst>
            <a:ext uri="{FF2B5EF4-FFF2-40B4-BE49-F238E27FC236}">
              <a16:creationId xmlns:a16="http://schemas.microsoft.com/office/drawing/2014/main" id="{148E3E65-98C9-4591-93DC-F4B4EBD91011}"/>
            </a:ext>
          </a:extLst>
        </xdr:cNvPr>
        <xdr:cNvSpPr/>
      </xdr:nvSpPr>
      <xdr:spPr>
        <a:xfrm>
          <a:off x="12374335" y="163285"/>
          <a:ext cx="914241" cy="43860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AR" sz="1400"/>
            <a:t>may</a:t>
          </a:r>
        </a:p>
      </xdr:txBody>
    </xdr:sp>
    <xdr:clientData/>
  </xdr:twoCellAnchor>
  <xdr:twoCellAnchor>
    <xdr:from>
      <xdr:col>6</xdr:col>
      <xdr:colOff>3442607</xdr:colOff>
      <xdr:row>0</xdr:row>
      <xdr:rowOff>163285</xdr:rowOff>
    </xdr:from>
    <xdr:to>
      <xdr:col>6</xdr:col>
      <xdr:colOff>4356848</xdr:colOff>
      <xdr:row>0</xdr:row>
      <xdr:rowOff>601889</xdr:rowOff>
    </xdr:to>
    <xdr:sp macro="[0]!jun" textlink="">
      <xdr:nvSpPr>
        <xdr:cNvPr id="6" name="Rectángulo: esquinas redondeadas 5">
          <a:extLst>
            <a:ext uri="{FF2B5EF4-FFF2-40B4-BE49-F238E27FC236}">
              <a16:creationId xmlns:a16="http://schemas.microsoft.com/office/drawing/2014/main" id="{852B1225-2B58-4806-8668-2AFF5B716A28}"/>
            </a:ext>
          </a:extLst>
        </xdr:cNvPr>
        <xdr:cNvSpPr/>
      </xdr:nvSpPr>
      <xdr:spPr>
        <a:xfrm>
          <a:off x="13459732" y="160110"/>
          <a:ext cx="914241" cy="43860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AR" sz="1400"/>
            <a:t>jun</a:t>
          </a:r>
        </a:p>
      </xdr:txBody>
    </xdr:sp>
    <xdr:clientData/>
  </xdr:twoCellAnchor>
  <xdr:twoCellAnchor>
    <xdr:from>
      <xdr:col>6</xdr:col>
      <xdr:colOff>4493533</xdr:colOff>
      <xdr:row>0</xdr:row>
      <xdr:rowOff>163285</xdr:rowOff>
    </xdr:from>
    <xdr:to>
      <xdr:col>7</xdr:col>
      <xdr:colOff>305095</xdr:colOff>
      <xdr:row>0</xdr:row>
      <xdr:rowOff>601889</xdr:rowOff>
    </xdr:to>
    <xdr:sp macro="[0]!jul" textlink="">
      <xdr:nvSpPr>
        <xdr:cNvPr id="7" name="Rectángulo: esquinas redondeadas 6">
          <a:extLst>
            <a:ext uri="{FF2B5EF4-FFF2-40B4-BE49-F238E27FC236}">
              <a16:creationId xmlns:a16="http://schemas.microsoft.com/office/drawing/2014/main" id="{E4F20DEC-957C-48F2-A5B2-B927557F4622}"/>
            </a:ext>
          </a:extLst>
        </xdr:cNvPr>
        <xdr:cNvSpPr/>
      </xdr:nvSpPr>
      <xdr:spPr>
        <a:xfrm>
          <a:off x="14513833" y="160110"/>
          <a:ext cx="907437" cy="43860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AR" sz="1400"/>
            <a:t>jul</a:t>
          </a:r>
        </a:p>
      </xdr:txBody>
    </xdr:sp>
    <xdr:clientData/>
  </xdr:twoCellAnchor>
  <xdr:twoCellAnchor>
    <xdr:from>
      <xdr:col>7</xdr:col>
      <xdr:colOff>465818</xdr:colOff>
      <xdr:row>0</xdr:row>
      <xdr:rowOff>160110</xdr:rowOff>
    </xdr:from>
    <xdr:to>
      <xdr:col>8</xdr:col>
      <xdr:colOff>32952</xdr:colOff>
      <xdr:row>0</xdr:row>
      <xdr:rowOff>598714</xdr:rowOff>
    </xdr:to>
    <xdr:sp macro="[0]!ago" textlink="">
      <xdr:nvSpPr>
        <xdr:cNvPr id="8" name="Rectángulo: esquinas redondeadas 7">
          <a:extLst>
            <a:ext uri="{FF2B5EF4-FFF2-40B4-BE49-F238E27FC236}">
              <a16:creationId xmlns:a16="http://schemas.microsoft.com/office/drawing/2014/main" id="{A018BAE1-201E-4787-B0A3-F2074155A602}"/>
            </a:ext>
          </a:extLst>
        </xdr:cNvPr>
        <xdr:cNvSpPr/>
      </xdr:nvSpPr>
      <xdr:spPr>
        <a:xfrm>
          <a:off x="15585168" y="163285"/>
          <a:ext cx="913334" cy="43860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AR" sz="1400"/>
            <a:t>ago</a:t>
          </a:r>
        </a:p>
      </xdr:txBody>
    </xdr:sp>
    <xdr:clientData/>
  </xdr:twoCellAnchor>
  <xdr:twoCellAnchor>
    <xdr:from>
      <xdr:col>8</xdr:col>
      <xdr:colOff>217714</xdr:colOff>
      <xdr:row>0</xdr:row>
      <xdr:rowOff>163285</xdr:rowOff>
    </xdr:from>
    <xdr:to>
      <xdr:col>9</xdr:col>
      <xdr:colOff>315526</xdr:colOff>
      <xdr:row>0</xdr:row>
      <xdr:rowOff>601889</xdr:rowOff>
    </xdr:to>
    <xdr:sp macro="[0]!sep" textlink="">
      <xdr:nvSpPr>
        <xdr:cNvPr id="9" name="Rectángulo: esquinas redondeadas 8">
          <a:extLst>
            <a:ext uri="{FF2B5EF4-FFF2-40B4-BE49-F238E27FC236}">
              <a16:creationId xmlns:a16="http://schemas.microsoft.com/office/drawing/2014/main" id="{45C5B42C-D8EF-4338-9153-4E268AA720CA}"/>
            </a:ext>
          </a:extLst>
        </xdr:cNvPr>
        <xdr:cNvSpPr/>
      </xdr:nvSpPr>
      <xdr:spPr>
        <a:xfrm>
          <a:off x="16689614" y="160110"/>
          <a:ext cx="901087" cy="43860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AR" sz="1400"/>
            <a:t>sep</a:t>
          </a:r>
        </a:p>
      </xdr:txBody>
    </xdr:sp>
    <xdr:clientData/>
  </xdr:twoCellAnchor>
  <xdr:twoCellAnchor>
    <xdr:from>
      <xdr:col>9</xdr:col>
      <xdr:colOff>486682</xdr:colOff>
      <xdr:row>0</xdr:row>
      <xdr:rowOff>160110</xdr:rowOff>
    </xdr:from>
    <xdr:to>
      <xdr:col>10</xdr:col>
      <xdr:colOff>339566</xdr:colOff>
      <xdr:row>0</xdr:row>
      <xdr:rowOff>598714</xdr:rowOff>
    </xdr:to>
    <xdr:sp macro="[0]!oct" textlink="">
      <xdr:nvSpPr>
        <xdr:cNvPr id="10" name="Rectángulo: esquinas redondeadas 9">
          <a:extLst>
            <a:ext uri="{FF2B5EF4-FFF2-40B4-BE49-F238E27FC236}">
              <a16:creationId xmlns:a16="http://schemas.microsoft.com/office/drawing/2014/main" id="{7596EF5C-870F-417E-9322-0D00B1343548}"/>
            </a:ext>
          </a:extLst>
        </xdr:cNvPr>
        <xdr:cNvSpPr/>
      </xdr:nvSpPr>
      <xdr:spPr>
        <a:xfrm>
          <a:off x="17761857" y="163285"/>
          <a:ext cx="919684" cy="43860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AR" sz="1400"/>
            <a:t>oct</a:t>
          </a:r>
        </a:p>
      </xdr:txBody>
    </xdr:sp>
    <xdr:clientData/>
  </xdr:twoCellAnchor>
  <xdr:twoCellAnchor>
    <xdr:from>
      <xdr:col>5</xdr:col>
      <xdr:colOff>4626429</xdr:colOff>
      <xdr:row>0</xdr:row>
      <xdr:rowOff>160110</xdr:rowOff>
    </xdr:from>
    <xdr:to>
      <xdr:col>6</xdr:col>
      <xdr:colOff>8913</xdr:colOff>
      <xdr:row>0</xdr:row>
      <xdr:rowOff>598714</xdr:rowOff>
    </xdr:to>
    <xdr:sp macro="[0]!feb" textlink="">
      <xdr:nvSpPr>
        <xdr:cNvPr id="11" name="Rectángulo: esquinas redondeadas 10">
          <a:extLst>
            <a:ext uri="{FF2B5EF4-FFF2-40B4-BE49-F238E27FC236}">
              <a16:creationId xmlns:a16="http://schemas.microsoft.com/office/drawing/2014/main" id="{BDC2FA99-5862-46AD-8C6D-464A887CAFCD}"/>
            </a:ext>
          </a:extLst>
        </xdr:cNvPr>
        <xdr:cNvSpPr/>
      </xdr:nvSpPr>
      <xdr:spPr>
        <a:xfrm>
          <a:off x="9103179" y="163285"/>
          <a:ext cx="929209" cy="43860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AR" sz="1400"/>
            <a:t>feb</a:t>
          </a:r>
        </a:p>
      </xdr:txBody>
    </xdr:sp>
    <xdr:clientData/>
  </xdr:twoCellAnchor>
  <xdr:twoCellAnchor>
    <xdr:from>
      <xdr:col>5</xdr:col>
      <xdr:colOff>3537858</xdr:colOff>
      <xdr:row>0</xdr:row>
      <xdr:rowOff>163285</xdr:rowOff>
    </xdr:from>
    <xdr:to>
      <xdr:col>5</xdr:col>
      <xdr:colOff>4461624</xdr:colOff>
      <xdr:row>0</xdr:row>
      <xdr:rowOff>601889</xdr:rowOff>
    </xdr:to>
    <xdr:sp macro="[0]!Ene" textlink="">
      <xdr:nvSpPr>
        <xdr:cNvPr id="12" name="Rectángulo: esquinas redondeadas 11">
          <a:extLst>
            <a:ext uri="{FF2B5EF4-FFF2-40B4-BE49-F238E27FC236}">
              <a16:creationId xmlns:a16="http://schemas.microsoft.com/office/drawing/2014/main" id="{4F9393EE-563E-4E3B-98A7-6FD842394213}"/>
            </a:ext>
          </a:extLst>
        </xdr:cNvPr>
        <xdr:cNvSpPr/>
      </xdr:nvSpPr>
      <xdr:spPr>
        <a:xfrm>
          <a:off x="8011433" y="160110"/>
          <a:ext cx="930116" cy="43860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AR" sz="1400"/>
            <a:t>ene</a:t>
          </a:r>
        </a:p>
      </xdr:txBody>
    </xdr:sp>
    <xdr:clientData/>
  </xdr:twoCellAnchor>
  <xdr:twoCellAnchor>
    <xdr:from>
      <xdr:col>10</xdr:col>
      <xdr:colOff>493032</xdr:colOff>
      <xdr:row>0</xdr:row>
      <xdr:rowOff>160110</xdr:rowOff>
    </xdr:from>
    <xdr:to>
      <xdr:col>11</xdr:col>
      <xdr:colOff>12995</xdr:colOff>
      <xdr:row>0</xdr:row>
      <xdr:rowOff>598714</xdr:rowOff>
    </xdr:to>
    <xdr:sp macro="[0]!nov" textlink="">
      <xdr:nvSpPr>
        <xdr:cNvPr id="13" name="Rectángulo: esquinas redondeadas 12">
          <a:extLst>
            <a:ext uri="{FF2B5EF4-FFF2-40B4-BE49-F238E27FC236}">
              <a16:creationId xmlns:a16="http://schemas.microsoft.com/office/drawing/2014/main" id="{4D9FEA8E-2D51-4858-9E96-EE3AF9E02C2C}"/>
            </a:ext>
          </a:extLst>
        </xdr:cNvPr>
        <xdr:cNvSpPr/>
      </xdr:nvSpPr>
      <xdr:spPr>
        <a:xfrm>
          <a:off x="18838182" y="163285"/>
          <a:ext cx="897913" cy="43860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AR" sz="1400"/>
            <a:t>nov</a:t>
          </a:r>
        </a:p>
      </xdr:txBody>
    </xdr:sp>
    <xdr:clientData/>
  </xdr:twoCellAnchor>
  <xdr:twoCellAnchor>
    <xdr:from>
      <xdr:col>11</xdr:col>
      <xdr:colOff>184151</xdr:colOff>
      <xdr:row>0</xdr:row>
      <xdr:rowOff>163285</xdr:rowOff>
    </xdr:from>
    <xdr:to>
      <xdr:col>11</xdr:col>
      <xdr:colOff>1098392</xdr:colOff>
      <xdr:row>0</xdr:row>
      <xdr:rowOff>601889</xdr:rowOff>
    </xdr:to>
    <xdr:sp macro="[0]!dic" textlink="">
      <xdr:nvSpPr>
        <xdr:cNvPr id="14" name="Rectángulo: esquinas redondeadas 13">
          <a:extLst>
            <a:ext uri="{FF2B5EF4-FFF2-40B4-BE49-F238E27FC236}">
              <a16:creationId xmlns:a16="http://schemas.microsoft.com/office/drawing/2014/main" id="{5DB135CF-9BAA-4855-B8D1-391B25867EE6}"/>
            </a:ext>
          </a:extLst>
        </xdr:cNvPr>
        <xdr:cNvSpPr/>
      </xdr:nvSpPr>
      <xdr:spPr>
        <a:xfrm>
          <a:off x="19907251" y="160110"/>
          <a:ext cx="914241" cy="43860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AR" sz="1400"/>
            <a:t>dic</a:t>
          </a:r>
        </a:p>
      </xdr:txBody>
    </xdr:sp>
    <xdr:clientData/>
  </xdr:twoCellAnchor>
  <xdr:twoCellAnchor>
    <xdr:from>
      <xdr:col>5</xdr:col>
      <xdr:colOff>2486933</xdr:colOff>
      <xdr:row>0</xdr:row>
      <xdr:rowOff>163285</xdr:rowOff>
    </xdr:from>
    <xdr:to>
      <xdr:col>5</xdr:col>
      <xdr:colOff>3420224</xdr:colOff>
      <xdr:row>0</xdr:row>
      <xdr:rowOff>601889</xdr:rowOff>
    </xdr:to>
    <xdr:sp macro="[0]!Limpia" textlink="">
      <xdr:nvSpPr>
        <xdr:cNvPr id="15" name="Rectángulo: esquinas redondeadas 14">
          <a:extLst>
            <a:ext uri="{FF2B5EF4-FFF2-40B4-BE49-F238E27FC236}">
              <a16:creationId xmlns:a16="http://schemas.microsoft.com/office/drawing/2014/main" id="{05093D9A-3308-4DEE-8DD7-9DEF17A4DC73}"/>
            </a:ext>
          </a:extLst>
        </xdr:cNvPr>
        <xdr:cNvSpPr/>
      </xdr:nvSpPr>
      <xdr:spPr>
        <a:xfrm>
          <a:off x="6960508" y="160110"/>
          <a:ext cx="933291" cy="438604"/>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s-AR" sz="1400">
              <a:solidFill>
                <a:sysClr val="windowText" lastClr="000000"/>
              </a:solidFill>
            </a:rPr>
            <a:t>Limpia</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17</xdr:col>
      <xdr:colOff>602445</xdr:colOff>
      <xdr:row>36</xdr:row>
      <xdr:rowOff>143779</xdr:rowOff>
    </xdr:to>
    <xdr:pic>
      <xdr:nvPicPr>
        <xdr:cNvPr id="2" name="Imagen 1">
          <a:extLst>
            <a:ext uri="{FF2B5EF4-FFF2-40B4-BE49-F238E27FC236}">
              <a16:creationId xmlns:a16="http://schemas.microsoft.com/office/drawing/2014/main" id="{CFC72A1D-4F97-5728-26EE-C14149C98528}"/>
            </a:ext>
          </a:extLst>
        </xdr:cNvPr>
        <xdr:cNvPicPr>
          <a:picLocks noChangeAspect="1"/>
        </xdr:cNvPicPr>
      </xdr:nvPicPr>
      <xdr:blipFill>
        <a:blip xmlns:r="http://schemas.openxmlformats.org/officeDocument/2006/relationships" r:embed="rId1"/>
        <a:stretch>
          <a:fillRect/>
        </a:stretch>
      </xdr:blipFill>
      <xdr:spPr>
        <a:xfrm>
          <a:off x="0" y="180975"/>
          <a:ext cx="16985445" cy="647790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382578</xdr:colOff>
      <xdr:row>4</xdr:row>
      <xdr:rowOff>9525</xdr:rowOff>
    </xdr:from>
    <xdr:to>
      <xdr:col>4</xdr:col>
      <xdr:colOff>526931</xdr:colOff>
      <xdr:row>10</xdr:row>
      <xdr:rowOff>9525</xdr:rowOff>
    </xdr:to>
    <xdr:sp macro="" textlink="PIVOT!$B$4">
      <xdr:nvSpPr>
        <xdr:cNvPr id="336" name="Rectángulo: esquinas redondeadas 2">
          <a:extLst>
            <a:ext uri="{FF2B5EF4-FFF2-40B4-BE49-F238E27FC236}">
              <a16:creationId xmlns:a16="http://schemas.microsoft.com/office/drawing/2014/main" id="{CDCFB919-3C23-ECE6-D5C2-D3EE5E4FFF66}"/>
            </a:ext>
          </a:extLst>
        </xdr:cNvPr>
        <xdr:cNvSpPr/>
      </xdr:nvSpPr>
      <xdr:spPr>
        <a:xfrm>
          <a:off x="2410843" y="1186143"/>
          <a:ext cx="2520000" cy="896470"/>
        </a:xfrm>
        <a:prstGeom prst="roundRect">
          <a:avLst>
            <a:gd name="adj" fmla="val 16316"/>
          </a:avLst>
        </a:prstGeom>
        <a:solidFill>
          <a:schemeClr val="bg1"/>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A35E4B53-92D0-48BC-9B0A-7DAC65E2301D}" type="TxLink">
            <a:rPr lang="en-US" sz="3600" b="1" i="0" u="none" strike="noStrike">
              <a:solidFill>
                <a:srgbClr val="00B050"/>
              </a:solidFill>
              <a:latin typeface="Arial"/>
              <a:cs typeface="Arial"/>
            </a:rPr>
            <a:pPr algn="ctr"/>
            <a:t>45</a:t>
          </a:fld>
          <a:endParaRPr lang="es-419" sz="400000" b="1">
            <a:solidFill>
              <a:srgbClr val="00B050"/>
            </a:solidFill>
            <a:latin typeface="72" panose="020B0503030000000003" pitchFamily="34" charset="0"/>
            <a:cs typeface="72" panose="020B0503030000000003" pitchFamily="34" charset="0"/>
          </a:endParaRPr>
        </a:p>
      </xdr:txBody>
    </xdr:sp>
    <xdr:clientData/>
  </xdr:twoCellAnchor>
  <xdr:twoCellAnchor>
    <xdr:from>
      <xdr:col>2</xdr:col>
      <xdr:colOff>733701</xdr:colOff>
      <xdr:row>4</xdr:row>
      <xdr:rowOff>1308</xdr:rowOff>
    </xdr:from>
    <xdr:to>
      <xdr:col>4</xdr:col>
      <xdr:colOff>295645</xdr:colOff>
      <xdr:row>6</xdr:row>
      <xdr:rowOff>93383</xdr:rowOff>
    </xdr:to>
    <xdr:sp macro="" textlink="">
      <xdr:nvSpPr>
        <xdr:cNvPr id="750" name="Rectángulo 4">
          <a:extLst>
            <a:ext uri="{FF2B5EF4-FFF2-40B4-BE49-F238E27FC236}">
              <a16:creationId xmlns:a16="http://schemas.microsoft.com/office/drawing/2014/main" id="{AC862796-1425-3E0D-46FF-7583C0E4EC0C}"/>
            </a:ext>
          </a:extLst>
        </xdr:cNvPr>
        <xdr:cNvSpPr/>
      </xdr:nvSpPr>
      <xdr:spPr>
        <a:xfrm>
          <a:off x="2761966" y="1177926"/>
          <a:ext cx="1937591" cy="4506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200" b="0">
              <a:solidFill>
                <a:sysClr val="windowText" lastClr="000000"/>
              </a:solidFill>
              <a:latin typeface="72" panose="020B0503030000000003" pitchFamily="34" charset="0"/>
              <a:cs typeface="72" panose="020B0503030000000003" pitchFamily="34" charset="0"/>
            </a:rPr>
            <a:t>IMPLEMENTADAS</a:t>
          </a:r>
        </a:p>
      </xdr:txBody>
    </xdr:sp>
    <xdr:clientData/>
  </xdr:twoCellAnchor>
  <xdr:twoCellAnchor>
    <xdr:from>
      <xdr:col>0</xdr:col>
      <xdr:colOff>47999</xdr:colOff>
      <xdr:row>0</xdr:row>
      <xdr:rowOff>82550</xdr:rowOff>
    </xdr:from>
    <xdr:to>
      <xdr:col>14</xdr:col>
      <xdr:colOff>750795</xdr:colOff>
      <xdr:row>3</xdr:row>
      <xdr:rowOff>0</xdr:rowOff>
    </xdr:to>
    <xdr:sp macro="" textlink="">
      <xdr:nvSpPr>
        <xdr:cNvPr id="17" name="Rectángulo: esquinas redondeadas 16">
          <a:extLst>
            <a:ext uri="{FF2B5EF4-FFF2-40B4-BE49-F238E27FC236}">
              <a16:creationId xmlns:a16="http://schemas.microsoft.com/office/drawing/2014/main" id="{BB019356-F543-4187-926D-816ADD660600}"/>
            </a:ext>
          </a:extLst>
        </xdr:cNvPr>
        <xdr:cNvSpPr/>
      </xdr:nvSpPr>
      <xdr:spPr>
        <a:xfrm>
          <a:off x="47999" y="82550"/>
          <a:ext cx="12468972" cy="914774"/>
        </a:xfrm>
        <a:prstGeom prst="roundRect">
          <a:avLst>
            <a:gd name="adj" fmla="val 16316"/>
          </a:avLst>
        </a:prstGeom>
        <a:solidFill>
          <a:schemeClr val="tx2"/>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3600" b="1">
              <a:solidFill>
                <a:schemeClr val="bg1"/>
              </a:solidFill>
              <a:latin typeface="72" panose="020B0503030000000003" pitchFamily="34" charset="0"/>
              <a:cs typeface="72" panose="020B0503030000000003" pitchFamily="34" charset="0"/>
            </a:rPr>
            <a:t> CUMPLIMIENTO DE MEJORAS</a:t>
          </a:r>
        </a:p>
      </xdr:txBody>
    </xdr:sp>
    <xdr:clientData/>
  </xdr:twoCellAnchor>
  <xdr:twoCellAnchor editAs="oneCell">
    <xdr:from>
      <xdr:col>13</xdr:col>
      <xdr:colOff>657972</xdr:colOff>
      <xdr:row>1</xdr:row>
      <xdr:rowOff>0</xdr:rowOff>
    </xdr:from>
    <xdr:to>
      <xdr:col>14</xdr:col>
      <xdr:colOff>326118</xdr:colOff>
      <xdr:row>2</xdr:row>
      <xdr:rowOff>84844</xdr:rowOff>
    </xdr:to>
    <xdr:pic>
      <xdr:nvPicPr>
        <xdr:cNvPr id="3" name="Gráfico 21" descr="Brindis con relleno sólido">
          <a:extLst>
            <a:ext uri="{FF2B5EF4-FFF2-40B4-BE49-F238E27FC236}">
              <a16:creationId xmlns:a16="http://schemas.microsoft.com/office/drawing/2014/main" id="{F50F7888-C7D9-CAE0-14E0-E1933824F6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870758" y="176893"/>
          <a:ext cx="852421" cy="713494"/>
        </a:xfrm>
        <a:prstGeom prst="rect">
          <a:avLst/>
        </a:prstGeom>
      </xdr:spPr>
    </xdr:pic>
    <xdr:clientData/>
  </xdr:twoCellAnchor>
  <xdr:twoCellAnchor editAs="oneCell">
    <xdr:from>
      <xdr:col>2</xdr:col>
      <xdr:colOff>544233</xdr:colOff>
      <xdr:row>4</xdr:row>
      <xdr:rowOff>77428</xdr:rowOff>
    </xdr:from>
    <xdr:to>
      <xdr:col>2</xdr:col>
      <xdr:colOff>983698</xdr:colOff>
      <xdr:row>6</xdr:row>
      <xdr:rowOff>108303</xdr:rowOff>
    </xdr:to>
    <xdr:pic>
      <xdr:nvPicPr>
        <xdr:cNvPr id="25" name="Gráfico 23" descr="Marca de insignia1 con relleno sólido">
          <a:extLst>
            <a:ext uri="{FF2B5EF4-FFF2-40B4-BE49-F238E27FC236}">
              <a16:creationId xmlns:a16="http://schemas.microsoft.com/office/drawing/2014/main" id="{6D29D366-C1CA-CBD7-8127-3FAC0E0B6AAA}"/>
            </a:ext>
          </a:extLst>
        </xdr:cNvPr>
        <xdr:cNvPicPr>
          <a:picLocks noChangeAspect="1"/>
        </xdr:cNvPicPr>
      </xdr:nvPicPr>
      <xdr:blipFill rotWithShape="1">
        <a:blip xmlns:r="http://schemas.openxmlformats.org/officeDocument/2006/relationships" r:embed="rId3">
          <a:extLst>
            <a:ext uri="{96DAC541-7B7A-43D3-8B79-37D633B846F1}">
              <asvg:svgBlip xmlns:asvg="http://schemas.microsoft.com/office/drawing/2016/SVG/main" r:embed="rId4"/>
            </a:ext>
          </a:extLst>
        </a:blip>
        <a:srcRect t="5634" b="5634"/>
        <a:stretch>
          <a:fillRect/>
        </a:stretch>
      </xdr:blipFill>
      <xdr:spPr>
        <a:xfrm>
          <a:off x="2573472" y="1261841"/>
          <a:ext cx="433115" cy="389650"/>
        </a:xfrm>
        <a:prstGeom prst="rect">
          <a:avLst/>
        </a:prstGeom>
      </xdr:spPr>
    </xdr:pic>
    <xdr:clientData/>
  </xdr:twoCellAnchor>
  <xdr:twoCellAnchor editAs="oneCell">
    <xdr:from>
      <xdr:col>0</xdr:col>
      <xdr:colOff>392205</xdr:colOff>
      <xdr:row>1</xdr:row>
      <xdr:rowOff>0</xdr:rowOff>
    </xdr:from>
    <xdr:to>
      <xdr:col>1</xdr:col>
      <xdr:colOff>246530</xdr:colOff>
      <xdr:row>2</xdr:row>
      <xdr:rowOff>67235</xdr:rowOff>
    </xdr:to>
    <xdr:pic>
      <xdr:nvPicPr>
        <xdr:cNvPr id="26" name="Gráfico 25" descr="Diana con relleno sólido">
          <a:extLst>
            <a:ext uri="{FF2B5EF4-FFF2-40B4-BE49-F238E27FC236}">
              <a16:creationId xmlns:a16="http://schemas.microsoft.com/office/drawing/2014/main" id="{C1CF1079-8E9F-35F7-BB1E-60B4B61145C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16323" y="358588"/>
          <a:ext cx="694765" cy="694765"/>
        </a:xfrm>
        <a:prstGeom prst="rect">
          <a:avLst/>
        </a:prstGeom>
      </xdr:spPr>
    </xdr:pic>
    <xdr:clientData/>
  </xdr:twoCellAnchor>
  <xdr:twoCellAnchor>
    <xdr:from>
      <xdr:col>5</xdr:col>
      <xdr:colOff>856588</xdr:colOff>
      <xdr:row>3</xdr:row>
      <xdr:rowOff>164941</xdr:rowOff>
    </xdr:from>
    <xdr:to>
      <xdr:col>7</xdr:col>
      <xdr:colOff>1010466</xdr:colOff>
      <xdr:row>10</xdr:row>
      <xdr:rowOff>11205</xdr:rowOff>
    </xdr:to>
    <xdr:grpSp>
      <xdr:nvGrpSpPr>
        <xdr:cNvPr id="695" name="Grupo 20">
          <a:extLst>
            <a:ext uri="{FF2B5EF4-FFF2-40B4-BE49-F238E27FC236}">
              <a16:creationId xmlns:a16="http://schemas.microsoft.com/office/drawing/2014/main" id="{981597AB-D4FB-A65C-E8FB-25C68C27AE37}"/>
            </a:ext>
          </a:extLst>
        </xdr:cNvPr>
        <xdr:cNvGrpSpPr/>
      </xdr:nvGrpSpPr>
      <xdr:grpSpPr>
        <a:xfrm>
          <a:off x="6448323" y="1151059"/>
          <a:ext cx="2529525" cy="1101322"/>
          <a:chOff x="4395407" y="1335126"/>
          <a:chExt cx="2383555" cy="926747"/>
        </a:xfrm>
      </xdr:grpSpPr>
      <xdr:sp macro="" textlink="PIVOT!$B$5">
        <xdr:nvSpPr>
          <xdr:cNvPr id="696" name="Rectángulo: esquinas redondeadas 3">
            <a:extLst>
              <a:ext uri="{FF2B5EF4-FFF2-40B4-BE49-F238E27FC236}">
                <a16:creationId xmlns:a16="http://schemas.microsoft.com/office/drawing/2014/main" id="{8E63A2C4-94E8-D3AA-A5C8-D7F1B5C72A47}"/>
              </a:ext>
            </a:extLst>
          </xdr:cNvPr>
          <xdr:cNvSpPr/>
        </xdr:nvSpPr>
        <xdr:spPr>
          <a:xfrm>
            <a:off x="4395407" y="1365403"/>
            <a:ext cx="2383555" cy="896470"/>
          </a:xfrm>
          <a:prstGeom prst="roundRect">
            <a:avLst>
              <a:gd name="adj" fmla="val 16316"/>
            </a:avLst>
          </a:prstGeom>
          <a:solidFill>
            <a:schemeClr val="bg1"/>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b" anchorCtr="0" forceAA="0" compatLnSpc="1">
            <a:prstTxWarp prst="textNoShape">
              <a:avLst/>
            </a:prstTxWarp>
            <a:noAutofit/>
          </a:bodyPr>
          <a:lstStyle/>
          <a:p>
            <a:pPr marL="0" indent="0" algn="ctr"/>
            <a:fld id="{472A17FE-E2F0-4935-827F-ED53276CE07B}" type="TxLink">
              <a:rPr lang="en-US" sz="3600" b="1" i="0" u="none" strike="noStrike">
                <a:solidFill>
                  <a:schemeClr val="accent2"/>
                </a:solidFill>
                <a:latin typeface="Arial"/>
                <a:ea typeface="+mn-ea"/>
                <a:cs typeface="Arial"/>
              </a:rPr>
              <a:pPr marL="0" indent="0" algn="ctr"/>
              <a:t>28</a:t>
            </a:fld>
            <a:endParaRPr lang="es-419" sz="400000" b="1" i="0" u="none" strike="noStrike">
              <a:solidFill>
                <a:schemeClr val="accent2"/>
              </a:solidFill>
              <a:latin typeface="72" panose="020B0503030000000003" pitchFamily="34" charset="0"/>
              <a:ea typeface="+mn-ea"/>
              <a:cs typeface="72" panose="020B0503030000000003" pitchFamily="34" charset="0"/>
            </a:endParaRPr>
          </a:p>
        </xdr:txBody>
      </xdr:sp>
      <xdr:sp macro="" textlink="">
        <xdr:nvSpPr>
          <xdr:cNvPr id="697" name="Rectángulo 5">
            <a:extLst>
              <a:ext uri="{FF2B5EF4-FFF2-40B4-BE49-F238E27FC236}">
                <a16:creationId xmlns:a16="http://schemas.microsoft.com/office/drawing/2014/main" id="{2896DCD9-CF71-4600-A3B0-F6B6188DB4B1}"/>
              </a:ext>
            </a:extLst>
          </xdr:cNvPr>
          <xdr:cNvSpPr/>
        </xdr:nvSpPr>
        <xdr:spPr>
          <a:xfrm>
            <a:off x="4948985" y="1335126"/>
            <a:ext cx="1310341" cy="45383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200" b="0">
                <a:solidFill>
                  <a:sysClr val="windowText" lastClr="000000"/>
                </a:solidFill>
                <a:latin typeface="72" panose="020B0503030000000003" pitchFamily="34" charset="0"/>
                <a:cs typeface="72" panose="020B0503030000000003" pitchFamily="34" charset="0"/>
              </a:rPr>
              <a:t>EN PROCESO</a:t>
            </a:r>
          </a:p>
        </xdr:txBody>
      </xdr:sp>
      <xdr:pic>
        <xdr:nvPicPr>
          <xdr:cNvPr id="698" name="Gráfico 27" descr="Ejecutar con relleno sólido">
            <a:extLst>
              <a:ext uri="{FF2B5EF4-FFF2-40B4-BE49-F238E27FC236}">
                <a16:creationId xmlns:a16="http://schemas.microsoft.com/office/drawing/2014/main" id="{4F181D55-5C74-D140-5FA7-134F55D923B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4609786" y="1419971"/>
            <a:ext cx="330004" cy="344334"/>
          </a:xfrm>
          <a:prstGeom prst="rect">
            <a:avLst/>
          </a:prstGeom>
        </xdr:spPr>
      </xdr:pic>
    </xdr:grpSp>
    <xdr:clientData/>
  </xdr:twoCellAnchor>
  <xdr:twoCellAnchor>
    <xdr:from>
      <xdr:col>9</xdr:col>
      <xdr:colOff>220094</xdr:colOff>
      <xdr:row>3</xdr:row>
      <xdr:rowOff>153520</xdr:rowOff>
    </xdr:from>
    <xdr:to>
      <xdr:col>11</xdr:col>
      <xdr:colOff>354922</xdr:colOff>
      <xdr:row>10</xdr:row>
      <xdr:rowOff>30443</xdr:rowOff>
    </xdr:to>
    <xdr:grpSp>
      <xdr:nvGrpSpPr>
        <xdr:cNvPr id="27" name="Grupo 11">
          <a:extLst>
            <a:ext uri="{FF2B5EF4-FFF2-40B4-BE49-F238E27FC236}">
              <a16:creationId xmlns:a16="http://schemas.microsoft.com/office/drawing/2014/main" id="{005A70F0-B9ED-5C8E-C4E3-F0B84FE98A7D}"/>
            </a:ext>
          </a:extLst>
        </xdr:cNvPr>
        <xdr:cNvGrpSpPr/>
      </xdr:nvGrpSpPr>
      <xdr:grpSpPr>
        <a:xfrm>
          <a:off x="10563123" y="1139638"/>
          <a:ext cx="2510475" cy="1131981"/>
          <a:chOff x="8513008" y="1341344"/>
          <a:chExt cx="2259201" cy="923738"/>
        </a:xfrm>
      </xdr:grpSpPr>
      <xdr:grpSp>
        <xdr:nvGrpSpPr>
          <xdr:cNvPr id="28" name="Grupo 10">
            <a:extLst>
              <a:ext uri="{FF2B5EF4-FFF2-40B4-BE49-F238E27FC236}">
                <a16:creationId xmlns:a16="http://schemas.microsoft.com/office/drawing/2014/main" id="{3409CC64-E285-2F62-3271-AC75779FC3E5}"/>
              </a:ext>
            </a:extLst>
          </xdr:cNvPr>
          <xdr:cNvGrpSpPr/>
        </xdr:nvGrpSpPr>
        <xdr:grpSpPr>
          <a:xfrm>
            <a:off x="8513008" y="1341344"/>
            <a:ext cx="2259201" cy="923738"/>
            <a:chOff x="8513008" y="1338169"/>
            <a:chExt cx="2259201" cy="923738"/>
          </a:xfrm>
        </xdr:grpSpPr>
        <xdr:sp macro="" textlink="PIVOT!$B$6">
          <xdr:nvSpPr>
            <xdr:cNvPr id="29" name="Rectángulo: esquinas redondeadas 8">
              <a:extLst>
                <a:ext uri="{FF2B5EF4-FFF2-40B4-BE49-F238E27FC236}">
                  <a16:creationId xmlns:a16="http://schemas.microsoft.com/office/drawing/2014/main" id="{D72A97B5-90F7-3395-9EC9-A7AFA4D9334F}"/>
                </a:ext>
              </a:extLst>
            </xdr:cNvPr>
            <xdr:cNvSpPr/>
          </xdr:nvSpPr>
          <xdr:spPr>
            <a:xfrm>
              <a:off x="8513008" y="1365437"/>
              <a:ext cx="2259201" cy="896470"/>
            </a:xfrm>
            <a:prstGeom prst="roundRect">
              <a:avLst>
                <a:gd name="adj" fmla="val 16316"/>
              </a:avLst>
            </a:prstGeom>
            <a:solidFill>
              <a:schemeClr val="bg1"/>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b" anchorCtr="0" forceAA="0" compatLnSpc="1">
              <a:prstTxWarp prst="textNoShape">
                <a:avLst/>
              </a:prstTxWarp>
              <a:noAutofit/>
            </a:bodyPr>
            <a:lstStyle/>
            <a:p>
              <a:pPr marL="0" indent="0" algn="ctr"/>
              <a:fld id="{0C6DEA3C-06DC-4A02-A3D3-DBC37DBAA011}" type="TxLink">
                <a:rPr lang="en-US" sz="3600" b="1" i="0" u="none" strike="noStrike">
                  <a:solidFill>
                    <a:srgbClr val="7030A0"/>
                  </a:solidFill>
                  <a:latin typeface="Arial"/>
                  <a:ea typeface="+mn-ea"/>
                  <a:cs typeface="Arial"/>
                </a:rPr>
                <a:pPr marL="0" indent="0" algn="ctr"/>
                <a:t> </a:t>
              </a:fld>
              <a:endParaRPr lang="es-419" sz="34400" b="1" i="0" u="none" strike="noStrike">
                <a:solidFill>
                  <a:srgbClr val="7030A0"/>
                </a:solidFill>
                <a:latin typeface="72" panose="020B0503030000000003" pitchFamily="34" charset="0"/>
                <a:ea typeface="+mn-ea"/>
                <a:cs typeface="72" panose="020B0503030000000003" pitchFamily="34" charset="0"/>
              </a:endParaRPr>
            </a:p>
          </xdr:txBody>
        </xdr:sp>
        <xdr:sp macro="" textlink="">
          <xdr:nvSpPr>
            <xdr:cNvPr id="30" name="Rectángulo 9">
              <a:extLst>
                <a:ext uri="{FF2B5EF4-FFF2-40B4-BE49-F238E27FC236}">
                  <a16:creationId xmlns:a16="http://schemas.microsoft.com/office/drawing/2014/main" id="{03D34311-68FC-2B80-D4B2-9463B0007362}"/>
                </a:ext>
              </a:extLst>
            </xdr:cNvPr>
            <xdr:cNvSpPr/>
          </xdr:nvSpPr>
          <xdr:spPr>
            <a:xfrm>
              <a:off x="9000785" y="1338169"/>
              <a:ext cx="1303057" cy="46018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200" b="0">
                  <a:solidFill>
                    <a:sysClr val="windowText" lastClr="000000"/>
                  </a:solidFill>
                  <a:latin typeface="72" panose="020B0503030000000003" pitchFamily="34" charset="0"/>
                  <a:cs typeface="72" panose="020B0503030000000003" pitchFamily="34" charset="0"/>
                </a:rPr>
                <a:t>NO INICIADO</a:t>
              </a:r>
            </a:p>
          </xdr:txBody>
        </xdr:sp>
      </xdr:grpSp>
      <xdr:pic>
        <xdr:nvPicPr>
          <xdr:cNvPr id="31" name="Gráfico 29" descr="Insignia Desplegada con relleno sólido">
            <a:extLst>
              <a:ext uri="{FF2B5EF4-FFF2-40B4-BE49-F238E27FC236}">
                <a16:creationId xmlns:a16="http://schemas.microsoft.com/office/drawing/2014/main" id="{5A5E2EE5-283D-4360-0E2D-9DFD6137D616}"/>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8628528" y="1423146"/>
            <a:ext cx="370261" cy="355414"/>
          </a:xfrm>
          <a:prstGeom prst="rect">
            <a:avLst/>
          </a:prstGeom>
        </xdr:spPr>
      </xdr:pic>
    </xdr:grpSp>
    <xdr:clientData/>
  </xdr:twoCellAnchor>
  <xdr:twoCellAnchor>
    <xdr:from>
      <xdr:col>12</xdr:col>
      <xdr:colOff>587905</xdr:colOff>
      <xdr:row>3</xdr:row>
      <xdr:rowOff>140384</xdr:rowOff>
    </xdr:from>
    <xdr:to>
      <xdr:col>14</xdr:col>
      <xdr:colOff>754483</xdr:colOff>
      <xdr:row>10</xdr:row>
      <xdr:rowOff>7419</xdr:rowOff>
    </xdr:to>
    <xdr:grpSp>
      <xdr:nvGrpSpPr>
        <xdr:cNvPr id="32" name="Grupo 26">
          <a:extLst>
            <a:ext uri="{FF2B5EF4-FFF2-40B4-BE49-F238E27FC236}">
              <a16:creationId xmlns:a16="http://schemas.microsoft.com/office/drawing/2014/main" id="{B2C79D32-5ADE-2DDF-9B1F-4C216C220EEA}"/>
            </a:ext>
          </a:extLst>
        </xdr:cNvPr>
        <xdr:cNvGrpSpPr/>
      </xdr:nvGrpSpPr>
      <xdr:grpSpPr>
        <a:xfrm>
          <a:off x="14494405" y="1126502"/>
          <a:ext cx="2542225" cy="1122093"/>
          <a:chOff x="9430231" y="1143716"/>
          <a:chExt cx="2331849" cy="949668"/>
        </a:xfrm>
      </xdr:grpSpPr>
      <xdr:grpSp>
        <xdr:nvGrpSpPr>
          <xdr:cNvPr id="33" name="Grupo 7">
            <a:extLst>
              <a:ext uri="{FF2B5EF4-FFF2-40B4-BE49-F238E27FC236}">
                <a16:creationId xmlns:a16="http://schemas.microsoft.com/office/drawing/2014/main" id="{A54638C6-CED1-4665-1F80-EB16CCFA1AD6}"/>
              </a:ext>
            </a:extLst>
          </xdr:cNvPr>
          <xdr:cNvGrpSpPr/>
        </xdr:nvGrpSpPr>
        <xdr:grpSpPr>
          <a:xfrm>
            <a:off x="9430231" y="1143716"/>
            <a:ext cx="2331849" cy="949668"/>
            <a:chOff x="8474721" y="1319419"/>
            <a:chExt cx="2295297" cy="942488"/>
          </a:xfrm>
        </xdr:grpSpPr>
        <xdr:sp macro="" textlink="PIVOT!$B$2">
          <xdr:nvSpPr>
            <xdr:cNvPr id="34" name="Rectángulo: esquinas redondeadas 13">
              <a:extLst>
                <a:ext uri="{FF2B5EF4-FFF2-40B4-BE49-F238E27FC236}">
                  <a16:creationId xmlns:a16="http://schemas.microsoft.com/office/drawing/2014/main" id="{466ABD5A-89F6-DF24-1C36-9AC6EEEFDA9C}"/>
                </a:ext>
              </a:extLst>
            </xdr:cNvPr>
            <xdr:cNvSpPr/>
          </xdr:nvSpPr>
          <xdr:spPr>
            <a:xfrm>
              <a:off x="8474721" y="1365437"/>
              <a:ext cx="2295297" cy="896470"/>
            </a:xfrm>
            <a:prstGeom prst="roundRect">
              <a:avLst>
                <a:gd name="adj" fmla="val 16316"/>
              </a:avLst>
            </a:prstGeom>
            <a:solidFill>
              <a:schemeClr val="bg1"/>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b" anchorCtr="0" forceAA="0" compatLnSpc="1">
              <a:prstTxWarp prst="textNoShape">
                <a:avLst/>
              </a:prstTxWarp>
              <a:noAutofit/>
            </a:bodyPr>
            <a:lstStyle/>
            <a:p>
              <a:pPr marL="0" indent="0" algn="ctr"/>
              <a:fld id="{BA3D4E6B-12E2-4FCF-91AA-D5EC68CD5302}" type="TxLink">
                <a:rPr lang="en-US" sz="3600" b="1" i="0" u="none" strike="noStrike">
                  <a:solidFill>
                    <a:schemeClr val="accent1"/>
                  </a:solidFill>
                  <a:latin typeface="Arial"/>
                  <a:ea typeface="+mn-ea"/>
                  <a:cs typeface="Arial"/>
                </a:rPr>
                <a:pPr marL="0" indent="0" algn="ctr"/>
                <a:t>73</a:t>
              </a:fld>
              <a:endParaRPr lang="es-419" sz="8800" b="1" i="0" u="none" strike="noStrike">
                <a:solidFill>
                  <a:schemeClr val="accent1"/>
                </a:solidFill>
                <a:latin typeface="Arial" panose="020B0604020202020204" pitchFamily="34" charset="0"/>
                <a:ea typeface="+mn-ea"/>
                <a:cs typeface="Arial" panose="020B0604020202020204" pitchFamily="34" charset="0"/>
              </a:endParaRPr>
            </a:p>
          </xdr:txBody>
        </xdr:sp>
        <xdr:sp macro="" textlink="">
          <xdr:nvSpPr>
            <xdr:cNvPr id="35" name="Rectángulo 14">
              <a:extLst>
                <a:ext uri="{FF2B5EF4-FFF2-40B4-BE49-F238E27FC236}">
                  <a16:creationId xmlns:a16="http://schemas.microsoft.com/office/drawing/2014/main" id="{35C5DA8D-73BE-4C76-95C2-E997DB495F9D}"/>
                </a:ext>
              </a:extLst>
            </xdr:cNvPr>
            <xdr:cNvSpPr/>
          </xdr:nvSpPr>
          <xdr:spPr>
            <a:xfrm>
              <a:off x="9008667" y="1319419"/>
              <a:ext cx="1686651" cy="46018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200" b="0">
                  <a:solidFill>
                    <a:sysClr val="windowText" lastClr="000000"/>
                  </a:solidFill>
                  <a:latin typeface="72" panose="020B0503030000000003" pitchFamily="34" charset="0"/>
                  <a:cs typeface="72" panose="020B0503030000000003" pitchFamily="34" charset="0"/>
                </a:rPr>
                <a:t>MEJORAS TOTALES</a:t>
              </a:r>
            </a:p>
          </xdr:txBody>
        </xdr:sp>
      </xdr:grpSp>
      <xdr:pic>
        <xdr:nvPicPr>
          <xdr:cNvPr id="36" name="Gráfico 18" descr="Asia en globo terráqueo con relleno sólido">
            <a:extLst>
              <a:ext uri="{FF2B5EF4-FFF2-40B4-BE49-F238E27FC236}">
                <a16:creationId xmlns:a16="http://schemas.microsoft.com/office/drawing/2014/main" id="{ECE16EBB-7A52-A4F0-687C-292CEA4E195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564968" y="1229785"/>
            <a:ext cx="330760" cy="319423"/>
          </a:xfrm>
          <a:prstGeom prst="rect">
            <a:avLst/>
          </a:prstGeom>
        </xdr:spPr>
      </xdr:pic>
    </xdr:grpSp>
    <xdr:clientData/>
  </xdr:twoCellAnchor>
  <xdr:twoCellAnchor>
    <xdr:from>
      <xdr:col>8</xdr:col>
      <xdr:colOff>716350</xdr:colOff>
      <xdr:row>35</xdr:row>
      <xdr:rowOff>96904</xdr:rowOff>
    </xdr:from>
    <xdr:to>
      <xdr:col>13</xdr:col>
      <xdr:colOff>418595</xdr:colOff>
      <xdr:row>95</xdr:row>
      <xdr:rowOff>153867</xdr:rowOff>
    </xdr:to>
    <xdr:graphicFrame macro="">
      <xdr:nvGraphicFramePr>
        <xdr:cNvPr id="461" name="Gráfico 1">
          <a:extLst>
            <a:ext uri="{FF2B5EF4-FFF2-40B4-BE49-F238E27FC236}">
              <a16:creationId xmlns:a16="http://schemas.microsoft.com/office/drawing/2014/main" id="{18FB3C4F-AE52-4A35-826B-90C9FCF95B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639536</xdr:colOff>
      <xdr:row>11</xdr:row>
      <xdr:rowOff>86472</xdr:rowOff>
    </xdr:from>
    <xdr:to>
      <xdr:col>14</xdr:col>
      <xdr:colOff>753970</xdr:colOff>
      <xdr:row>35</xdr:row>
      <xdr:rowOff>64861</xdr:rowOff>
    </xdr:to>
    <xdr:graphicFrame macro="">
      <xdr:nvGraphicFramePr>
        <xdr:cNvPr id="460" name="Gráfico 12">
          <a:extLst>
            <a:ext uri="{FF2B5EF4-FFF2-40B4-BE49-F238E27FC236}">
              <a16:creationId xmlns:a16="http://schemas.microsoft.com/office/drawing/2014/main" id="{E0C58E1C-AF2C-4DD7-85DD-29A9CBBFEA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0</xdr:col>
      <xdr:colOff>136072</xdr:colOff>
      <xdr:row>10</xdr:row>
      <xdr:rowOff>64778</xdr:rowOff>
    </xdr:from>
    <xdr:to>
      <xdr:col>2</xdr:col>
      <xdr:colOff>233136</xdr:colOff>
      <xdr:row>35</xdr:row>
      <xdr:rowOff>54882</xdr:rowOff>
    </xdr:to>
    <mc:AlternateContent xmlns:mc="http://schemas.openxmlformats.org/markup-compatibility/2006" xmlns:a14="http://schemas.microsoft.com/office/drawing/2010/main">
      <mc:Choice Requires="a14">
        <xdr:graphicFrame macro="">
          <xdr:nvGraphicFramePr>
            <xdr:cNvPr id="465" name="MES">
              <a:extLst>
                <a:ext uri="{FF2B5EF4-FFF2-40B4-BE49-F238E27FC236}">
                  <a16:creationId xmlns:a16="http://schemas.microsoft.com/office/drawing/2014/main" id="{063577AC-1F91-F1A6-9D26-5C40BA14999B}"/>
                </a:ext>
              </a:extLst>
            </xdr:cNvPr>
            <xdr:cNvGraphicFramePr/>
          </xdr:nvGraphicFramePr>
          <xdr:xfrm>
            <a:off x="0" y="0"/>
            <a:ext cx="0" cy="0"/>
          </xdr:xfrm>
          <a:graphic>
            <a:graphicData uri="http://schemas.microsoft.com/office/drawing/2010/slicer">
              <sle:slicer xmlns:sle="http://schemas.microsoft.com/office/drawing/2010/slicer" name="MES"/>
            </a:graphicData>
          </a:graphic>
        </xdr:graphicFrame>
      </mc:Choice>
      <mc:Fallback xmlns="">
        <xdr:sp macro="" textlink="">
          <xdr:nvSpPr>
            <xdr:cNvPr id="0" name=""/>
            <xdr:cNvSpPr>
              <a:spLocks noTextEdit="1"/>
            </xdr:cNvSpPr>
          </xdr:nvSpPr>
          <xdr:spPr>
            <a:xfrm>
              <a:off x="136072" y="2299524"/>
              <a:ext cx="2125889" cy="4514479"/>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9</xdr:col>
      <xdr:colOff>1181475</xdr:colOff>
      <xdr:row>37</xdr:row>
      <xdr:rowOff>57143</xdr:rowOff>
    </xdr:from>
    <xdr:to>
      <xdr:col>16384</xdr:col>
      <xdr:colOff>32658</xdr:colOff>
      <xdr:row>45</xdr:row>
      <xdr:rowOff>55693</xdr:rowOff>
    </xdr:to>
    <mc:AlternateContent xmlns:mc="http://schemas.openxmlformats.org/markup-compatibility/2006" xmlns:a14="http://schemas.microsoft.com/office/drawing/2010/main">
      <mc:Choice Requires="a14">
        <xdr:graphicFrame macro="">
          <xdr:nvGraphicFramePr>
            <xdr:cNvPr id="462" name="UNIDAD">
              <a:extLst>
                <a:ext uri="{FF2B5EF4-FFF2-40B4-BE49-F238E27FC236}">
                  <a16:creationId xmlns:a16="http://schemas.microsoft.com/office/drawing/2014/main" id="{20CF0A4C-E168-9139-753F-DE2A22517BC0}"/>
                </a:ext>
              </a:extLst>
            </xdr:cNvPr>
            <xdr:cNvGraphicFramePr/>
          </xdr:nvGraphicFramePr>
          <xdr:xfrm>
            <a:off x="0" y="0"/>
            <a:ext cx="0" cy="0"/>
          </xdr:xfrm>
          <a:graphic>
            <a:graphicData uri="http://schemas.microsoft.com/office/drawing/2010/slicer">
              <sle:slicer xmlns:sle="http://schemas.microsoft.com/office/drawing/2010/slicer" name="UNIDAD"/>
            </a:graphicData>
          </a:graphic>
        </xdr:graphicFrame>
      </mc:Choice>
      <mc:Fallback xmlns="">
        <xdr:sp macro="" textlink="">
          <xdr:nvSpPr>
            <xdr:cNvPr id="0" name=""/>
            <xdr:cNvSpPr>
              <a:spLocks noTextEdit="1"/>
            </xdr:cNvSpPr>
          </xdr:nvSpPr>
          <xdr:spPr>
            <a:xfrm>
              <a:off x="11604546" y="7064822"/>
              <a:ext cx="5690133" cy="1446350"/>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4</xdr:col>
      <xdr:colOff>630610</xdr:colOff>
      <xdr:row>10</xdr:row>
      <xdr:rowOff>28949</xdr:rowOff>
    </xdr:from>
    <xdr:to>
      <xdr:col>11</xdr:col>
      <xdr:colOff>534147</xdr:colOff>
      <xdr:row>27</xdr:row>
      <xdr:rowOff>43143</xdr:rowOff>
    </xdr:to>
    <xdr:graphicFrame macro="">
      <xdr:nvGraphicFramePr>
        <xdr:cNvPr id="50" name="Chart 2">
          <a:extLst>
            <a:ext uri="{FF2B5EF4-FFF2-40B4-BE49-F238E27FC236}">
              <a16:creationId xmlns:a16="http://schemas.microsoft.com/office/drawing/2014/main" id="{90CDB4A7-0722-0A88-18BE-3FAE7D76DF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3</xdr:row>
      <xdr:rowOff>0</xdr:rowOff>
    </xdr:from>
    <xdr:to>
      <xdr:col>11</xdr:col>
      <xdr:colOff>0</xdr:colOff>
      <xdr:row>33</xdr:row>
      <xdr:rowOff>171449</xdr:rowOff>
    </xdr:to>
    <xdr:graphicFrame macro="">
      <xdr:nvGraphicFramePr>
        <xdr:cNvPr id="2" name="Chart 4">
          <a:extLst>
            <a:ext uri="{FF2B5EF4-FFF2-40B4-BE49-F238E27FC236}">
              <a16:creationId xmlns:a16="http://schemas.microsoft.com/office/drawing/2014/main" id="{3F4ACE58-C7E5-487A-9501-D46BE965EF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177801</xdr:colOff>
      <xdr:row>36</xdr:row>
      <xdr:rowOff>0</xdr:rowOff>
    </xdr:from>
    <xdr:to>
      <xdr:col>6</xdr:col>
      <xdr:colOff>1254126</xdr:colOff>
      <xdr:row>42</xdr:row>
      <xdr:rowOff>0</xdr:rowOff>
    </xdr:to>
    <xdr:graphicFrame macro="">
      <xdr:nvGraphicFramePr>
        <xdr:cNvPr id="3" name="Gráfico 2">
          <a:extLst>
            <a:ext uri="{FF2B5EF4-FFF2-40B4-BE49-F238E27FC236}">
              <a16:creationId xmlns:a16="http://schemas.microsoft.com/office/drawing/2014/main" id="{E10BA265-A07A-46EC-932C-AB4DC0CA76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0.83807</cdr:x>
      <cdr:y>0.92191</cdr:y>
    </cdr:from>
    <cdr:to>
      <cdr:x>0.86235</cdr:x>
      <cdr:y>0.97911</cdr:y>
    </cdr:to>
    <cdr:sp macro="" textlink="">
      <cdr:nvSpPr>
        <cdr:cNvPr id="2" name="Oval 289">
          <a:extLst xmlns:a="http://schemas.openxmlformats.org/drawingml/2006/main">
            <a:ext uri="{FF2B5EF4-FFF2-40B4-BE49-F238E27FC236}">
              <a16:creationId xmlns:a16="http://schemas.microsoft.com/office/drawing/2014/main" id="{C2FFDC1A-84B1-4A1A-998C-A094FDEC7A25}"/>
            </a:ext>
          </a:extLst>
        </cdr:cNvPr>
        <cdr:cNvSpPr>
          <a:spLocks xmlns:a="http://schemas.openxmlformats.org/drawingml/2006/main" noChangeArrowheads="1"/>
        </cdr:cNvSpPr>
      </cdr:nvSpPr>
      <cdr:spPr bwMode="auto">
        <a:xfrm xmlns:a="http://schemas.openxmlformats.org/drawingml/2006/main">
          <a:off x="13231164" y="5426754"/>
          <a:ext cx="383331" cy="336737"/>
        </a:xfrm>
        <a:prstGeom xmlns:a="http://schemas.openxmlformats.org/drawingml/2006/main" prst="ellipse">
          <a:avLst/>
        </a:prstGeom>
        <a:solidFill xmlns:a="http://schemas.openxmlformats.org/drawingml/2006/main">
          <a:srgbClr val="FFFFFF"/>
        </a:solidFill>
        <a:ln xmlns:a="http://schemas.openxmlformats.org/drawingml/2006/main" w="9525">
          <a:solidFill>
            <a:srgbClr val="000000"/>
          </a:solidFill>
          <a:round/>
          <a:headEnd/>
          <a:tailEnd/>
        </a:ln>
      </cdr:spPr>
      <cdr:txBody>
        <a:bodyPr xmlns:a="http://schemas.openxmlformats.org/drawingml/2006/main" wrap="square" lIns="27432" tIns="18288" rIns="0" bIns="0" anchor="ctr"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rtl="0">
            <a:defRPr sz="1000"/>
          </a:pPr>
          <a:r>
            <a:rPr lang="es-ES" sz="1400" b="1" i="0" u="none" strike="noStrike" baseline="0">
              <a:solidFill>
                <a:srgbClr val="000000"/>
              </a:solidFill>
              <a:latin typeface="Darker Grotesque" pitchFamily="2" charset="0"/>
              <a:cs typeface="Arial"/>
            </a:rPr>
            <a:t>  1</a:t>
          </a:r>
        </a:p>
      </cdr:txBody>
    </cdr:sp>
  </cdr:relSizeAnchor>
  <cdr:relSizeAnchor xmlns:cdr="http://schemas.openxmlformats.org/drawingml/2006/chartDrawing">
    <cdr:from>
      <cdr:x>0.86731</cdr:x>
      <cdr:y>0.92314</cdr:y>
    </cdr:from>
    <cdr:to>
      <cdr:x>0.89159</cdr:x>
      <cdr:y>0.98034</cdr:y>
    </cdr:to>
    <cdr:sp macro="" textlink="">
      <cdr:nvSpPr>
        <cdr:cNvPr id="3" name="Oval 289">
          <a:extLst xmlns:a="http://schemas.openxmlformats.org/drawingml/2006/main">
            <a:ext uri="{FF2B5EF4-FFF2-40B4-BE49-F238E27FC236}">
              <a16:creationId xmlns:a16="http://schemas.microsoft.com/office/drawing/2014/main" id="{83977D59-6DE2-4998-98BA-A6D8047D8560}"/>
            </a:ext>
          </a:extLst>
        </cdr:cNvPr>
        <cdr:cNvSpPr>
          <a:spLocks xmlns:a="http://schemas.openxmlformats.org/drawingml/2006/main" noChangeArrowheads="1"/>
        </cdr:cNvSpPr>
      </cdr:nvSpPr>
      <cdr:spPr bwMode="auto">
        <a:xfrm xmlns:a="http://schemas.openxmlformats.org/drawingml/2006/main">
          <a:off x="13692821" y="5434011"/>
          <a:ext cx="383331" cy="336737"/>
        </a:xfrm>
        <a:prstGeom xmlns:a="http://schemas.openxmlformats.org/drawingml/2006/main" prst="ellipse">
          <a:avLst/>
        </a:prstGeom>
        <a:solidFill xmlns:a="http://schemas.openxmlformats.org/drawingml/2006/main">
          <a:srgbClr val="FFFFFF"/>
        </a:solidFill>
        <a:ln xmlns:a="http://schemas.openxmlformats.org/drawingml/2006/main" w="9525">
          <a:solidFill>
            <a:srgbClr val="000000"/>
          </a:solidFill>
          <a:round/>
          <a:headEnd/>
          <a:tailEnd/>
        </a:ln>
      </cdr:spPr>
      <cdr:txBody>
        <a:bodyPr xmlns:a="http://schemas.openxmlformats.org/drawingml/2006/main" wrap="square" lIns="27432" tIns="18288" rIns="0" bIns="0" anchor="ctr"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rtl="0">
            <a:defRPr sz="1000"/>
          </a:pPr>
          <a:r>
            <a:rPr lang="es-ES" sz="1400" b="1" i="0" u="none" strike="noStrike" baseline="0">
              <a:solidFill>
                <a:srgbClr val="000000"/>
              </a:solidFill>
              <a:latin typeface="Darker Grotesque" pitchFamily="2" charset="0"/>
              <a:cs typeface="Arial"/>
            </a:rPr>
            <a:t>  2</a:t>
          </a:r>
        </a:p>
      </cdr:txBody>
    </cdr:sp>
  </cdr:relSizeAnchor>
  <cdr:relSizeAnchor xmlns:cdr="http://schemas.openxmlformats.org/drawingml/2006/chartDrawing">
    <cdr:from>
      <cdr:x>0.89684</cdr:x>
      <cdr:y>0.92013</cdr:y>
    </cdr:from>
    <cdr:to>
      <cdr:x>0.92112</cdr:x>
      <cdr:y>0.97734</cdr:y>
    </cdr:to>
    <cdr:sp macro="" textlink="">
      <cdr:nvSpPr>
        <cdr:cNvPr id="4" name="Oval 289">
          <a:extLst xmlns:a="http://schemas.openxmlformats.org/drawingml/2006/main">
            <a:ext uri="{FF2B5EF4-FFF2-40B4-BE49-F238E27FC236}">
              <a16:creationId xmlns:a16="http://schemas.microsoft.com/office/drawing/2014/main" id="{3E63E4E0-D8CE-43AA-8210-D2AA84517064}"/>
            </a:ext>
          </a:extLst>
        </cdr:cNvPr>
        <cdr:cNvSpPr>
          <a:spLocks xmlns:a="http://schemas.openxmlformats.org/drawingml/2006/main" noChangeArrowheads="1"/>
        </cdr:cNvSpPr>
      </cdr:nvSpPr>
      <cdr:spPr bwMode="auto">
        <a:xfrm xmlns:a="http://schemas.openxmlformats.org/drawingml/2006/main">
          <a:off x="14158999" y="5416322"/>
          <a:ext cx="383332" cy="336737"/>
        </a:xfrm>
        <a:prstGeom xmlns:a="http://schemas.openxmlformats.org/drawingml/2006/main" prst="ellipse">
          <a:avLst/>
        </a:prstGeom>
        <a:solidFill xmlns:a="http://schemas.openxmlformats.org/drawingml/2006/main">
          <a:srgbClr val="FFFFFF"/>
        </a:solidFill>
        <a:ln xmlns:a="http://schemas.openxmlformats.org/drawingml/2006/main" w="9525">
          <a:solidFill>
            <a:srgbClr val="000000"/>
          </a:solidFill>
          <a:round/>
          <a:headEnd/>
          <a:tailEnd/>
        </a:ln>
      </cdr:spPr>
      <cdr:txBody>
        <a:bodyPr xmlns:a="http://schemas.openxmlformats.org/drawingml/2006/main" wrap="square" lIns="27432" tIns="18288" rIns="0" bIns="0" anchor="ctr"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rtl="0">
            <a:defRPr sz="1000"/>
          </a:pPr>
          <a:r>
            <a:rPr lang="es-ES" sz="1400" b="1" i="0" u="none" strike="noStrike" baseline="0">
              <a:solidFill>
                <a:srgbClr val="000000"/>
              </a:solidFill>
              <a:latin typeface="Darker Grotesque" pitchFamily="2" charset="0"/>
              <a:cs typeface="Arial"/>
            </a:rPr>
            <a:t>  3</a:t>
          </a:r>
        </a:p>
      </cdr:txBody>
    </cdr:sp>
  </cdr:relSizeAnchor>
  <cdr:relSizeAnchor xmlns:cdr="http://schemas.openxmlformats.org/drawingml/2006/chartDrawing">
    <cdr:from>
      <cdr:x>0.95314</cdr:x>
      <cdr:y>0.91944</cdr:y>
    </cdr:from>
    <cdr:to>
      <cdr:x>0.97743</cdr:x>
      <cdr:y>0.97665</cdr:y>
    </cdr:to>
    <cdr:sp macro="" textlink="">
      <cdr:nvSpPr>
        <cdr:cNvPr id="5" name="Oval 289">
          <a:extLst xmlns:a="http://schemas.openxmlformats.org/drawingml/2006/main">
            <a:ext uri="{FF2B5EF4-FFF2-40B4-BE49-F238E27FC236}">
              <a16:creationId xmlns:a16="http://schemas.microsoft.com/office/drawing/2014/main" id="{141E8FDD-D20B-4D15-978C-416C27EC57D3}"/>
            </a:ext>
          </a:extLst>
        </cdr:cNvPr>
        <cdr:cNvSpPr>
          <a:spLocks xmlns:a="http://schemas.openxmlformats.org/drawingml/2006/main" noChangeArrowheads="1"/>
        </cdr:cNvSpPr>
      </cdr:nvSpPr>
      <cdr:spPr bwMode="auto">
        <a:xfrm xmlns:a="http://schemas.openxmlformats.org/drawingml/2006/main">
          <a:off x="15047950" y="5412240"/>
          <a:ext cx="383332" cy="336737"/>
        </a:xfrm>
        <a:prstGeom xmlns:a="http://schemas.openxmlformats.org/drawingml/2006/main" prst="ellipse">
          <a:avLst/>
        </a:prstGeom>
        <a:solidFill xmlns:a="http://schemas.openxmlformats.org/drawingml/2006/main">
          <a:srgbClr val="FFFFFF"/>
        </a:solidFill>
        <a:ln xmlns:a="http://schemas.openxmlformats.org/drawingml/2006/main" w="9525">
          <a:solidFill>
            <a:srgbClr val="000000"/>
          </a:solidFill>
          <a:round/>
          <a:headEnd/>
          <a:tailEnd/>
        </a:ln>
      </cdr:spPr>
      <cdr:txBody>
        <a:bodyPr xmlns:a="http://schemas.openxmlformats.org/drawingml/2006/main" wrap="square" lIns="27432" tIns="18288" rIns="0" bIns="0" anchor="ctr"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rtl="0">
            <a:defRPr sz="1000"/>
          </a:pPr>
          <a:r>
            <a:rPr lang="es-ES" sz="1400" b="1" i="0" u="none" strike="noStrike" baseline="0">
              <a:solidFill>
                <a:srgbClr val="000000"/>
              </a:solidFill>
              <a:latin typeface="Darker Grotesque" pitchFamily="2" charset="0"/>
              <a:cs typeface="Arial"/>
            </a:rPr>
            <a:t>  5</a:t>
          </a:r>
        </a:p>
      </cdr:txBody>
    </cdr:sp>
  </cdr:relSizeAnchor>
  <cdr:relSizeAnchor xmlns:cdr="http://schemas.openxmlformats.org/drawingml/2006/chartDrawing">
    <cdr:from>
      <cdr:x>0.92539</cdr:x>
      <cdr:y>0.92067</cdr:y>
    </cdr:from>
    <cdr:to>
      <cdr:x>0.94967</cdr:x>
      <cdr:y>0.97788</cdr:y>
    </cdr:to>
    <cdr:sp macro="" textlink="">
      <cdr:nvSpPr>
        <cdr:cNvPr id="6" name="Oval 289">
          <a:extLst xmlns:a="http://schemas.openxmlformats.org/drawingml/2006/main">
            <a:ext uri="{FF2B5EF4-FFF2-40B4-BE49-F238E27FC236}">
              <a16:creationId xmlns:a16="http://schemas.microsoft.com/office/drawing/2014/main" id="{3F4408BB-52AA-4DE0-9290-DB0EB92FEA0E}"/>
            </a:ext>
          </a:extLst>
        </cdr:cNvPr>
        <cdr:cNvSpPr>
          <a:spLocks xmlns:a="http://schemas.openxmlformats.org/drawingml/2006/main" noChangeArrowheads="1"/>
        </cdr:cNvSpPr>
      </cdr:nvSpPr>
      <cdr:spPr bwMode="auto">
        <a:xfrm xmlns:a="http://schemas.openxmlformats.org/drawingml/2006/main">
          <a:off x="14609805" y="5419497"/>
          <a:ext cx="383331" cy="336737"/>
        </a:xfrm>
        <a:prstGeom xmlns:a="http://schemas.openxmlformats.org/drawingml/2006/main" prst="ellipse">
          <a:avLst/>
        </a:prstGeom>
        <a:solidFill xmlns:a="http://schemas.openxmlformats.org/drawingml/2006/main">
          <a:srgbClr val="FFFFFF"/>
        </a:solidFill>
        <a:ln xmlns:a="http://schemas.openxmlformats.org/drawingml/2006/main" w="9525">
          <a:solidFill>
            <a:srgbClr val="000000"/>
          </a:solidFill>
          <a:round/>
          <a:headEnd/>
          <a:tailEnd/>
        </a:ln>
      </cdr:spPr>
      <cdr:txBody>
        <a:bodyPr xmlns:a="http://schemas.openxmlformats.org/drawingml/2006/main" wrap="square" lIns="27432" tIns="18288" rIns="0" bIns="0" anchor="ctr"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rtl="0">
            <a:defRPr sz="1000"/>
          </a:pPr>
          <a:r>
            <a:rPr lang="es-ES" sz="1400" b="1" i="0" u="none" strike="noStrike" baseline="0">
              <a:solidFill>
                <a:srgbClr val="000000"/>
              </a:solidFill>
              <a:latin typeface="Darker Grotesque" pitchFamily="2" charset="0"/>
              <a:cs typeface="Arial"/>
            </a:rPr>
            <a:t>  4</a:t>
          </a:r>
        </a:p>
      </cdr:txBody>
    </cdr:sp>
  </cdr:relSizeAnchor>
  <cdr:relSizeAnchor xmlns:cdr="http://schemas.openxmlformats.org/drawingml/2006/chartDrawing">
    <cdr:from>
      <cdr:x>0.81516</cdr:x>
      <cdr:y>0.86219</cdr:y>
    </cdr:from>
    <cdr:to>
      <cdr:x>1</cdr:x>
      <cdr:y>0.90611</cdr:y>
    </cdr:to>
    <cdr:sp macro="" textlink="">
      <cdr:nvSpPr>
        <cdr:cNvPr id="7" name="CuadroTexto 8">
          <a:extLst xmlns:a="http://schemas.openxmlformats.org/drawingml/2006/main">
            <a:ext uri="{FF2B5EF4-FFF2-40B4-BE49-F238E27FC236}">
              <a16:creationId xmlns:a16="http://schemas.microsoft.com/office/drawing/2014/main" id="{45C6AC20-11C1-45E6-9E8B-7786B24E2DDF}"/>
            </a:ext>
          </a:extLst>
        </cdr:cNvPr>
        <cdr:cNvSpPr txBox="1"/>
      </cdr:nvSpPr>
      <cdr:spPr>
        <a:xfrm xmlns:a="http://schemas.openxmlformats.org/drawingml/2006/main">
          <a:off x="12869432" y="5075237"/>
          <a:ext cx="2918256" cy="258535"/>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AR" sz="1400" b="1">
              <a:latin typeface="Darker Grotesque" pitchFamily="2" charset="0"/>
            </a:rPr>
            <a:t>Llamadas indicador</a:t>
          </a:r>
          <a:r>
            <a:rPr lang="es-AR" sz="1400" b="1" baseline="0">
              <a:latin typeface="Darker Grotesque" pitchFamily="2" charset="0"/>
            </a:rPr>
            <a:t> fuera de objetivo:</a:t>
          </a:r>
          <a:endParaRPr lang="es-AR" sz="1400" b="1">
            <a:latin typeface="Darker Grotesque" pitchFamily="2" charset="0"/>
          </a:endParaRPr>
        </a:p>
      </cdr:txBody>
    </cdr:sp>
  </cdr:relSizeAnchor>
</c:userShapes>
</file>

<file path=xl/externalLinks/_rels/externalLink1.xml.rels><?xml version="1.0" encoding="UTF-8" standalone="yes"?>
<Relationships xmlns="http://schemas.openxmlformats.org/package/2006/relationships"><Relationship Id="rId3" Type="http://schemas.openxmlformats.org/officeDocument/2006/relationships/externalLinkPath" Target="../../../../../iDoc/Documentos/FG-PN01-023.xlsx" TargetMode="External"/><Relationship Id="rId2" Type="http://schemas.openxmlformats.org/officeDocument/2006/relationships/externalLinkPath" Target="file:///C:\Users\varraras\Downloads\FG-PN01-023.xlsx" TargetMode="External"/><Relationship Id="rId1" Type="http://schemas.openxmlformats.org/officeDocument/2006/relationships/externalLinkPath" Target="/sites/iDoc/Documentos/FG-PN01-02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Formulario"/>
      <sheetName val="SGC"/>
      <sheetName val="Registro de modificaciones"/>
    </sheetNames>
    <sheetDataSet>
      <sheetData sheetId="0"/>
      <sheetData sheetId="1"/>
      <sheetData sheetId="2"/>
    </sheetDataSet>
  </externalBook>
</externalLink>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olivar, Melany" refreshedDate="46322.461881134259" createdVersion="8" refreshedVersion="8" minRefreshableVersion="3" recordCount="108" xr:uid="{94B10E46-C201-4748-B4C8-95DAF02E4919}">
  <cacheSource type="worksheet">
    <worksheetSource name="Table13"/>
  </cacheSource>
  <cacheFields count="24">
    <cacheField name="N°" numFmtId="0">
      <sharedItems containsSemiMixedTypes="0" containsString="0" containsNumber="1" containsInteger="1" minValue="1" maxValue="108"/>
    </cacheField>
    <cacheField name="FECHA RELEVO" numFmtId="164">
      <sharedItems containsNonDate="0" containsDate="1" containsString="0" containsBlank="1" minDate="2026-01-01T00:00:00" maxDate="2026-12-11T00:00:00"/>
    </cacheField>
    <cacheField name="AÑO" numFmtId="0">
      <sharedItems containsSemiMixedTypes="0" containsString="0" containsNumber="1" containsInteger="1" minValue="1900" maxValue="2026"/>
    </cacheField>
    <cacheField name="MES" numFmtId="165">
      <sharedItems count="13">
        <s v="ene"/>
        <s v="feb"/>
        <s v="mar"/>
        <s v="abr"/>
        <s v="may"/>
        <s v="jun"/>
        <s v="jul"/>
        <s v="ago"/>
        <s v="sept"/>
        <s v="oct"/>
        <s v="nov"/>
        <s v="dic"/>
        <s v=""/>
      </sharedItems>
    </cacheField>
    <cacheField name="DIA" numFmtId="0">
      <sharedItems containsSemiMixedTypes="0" containsString="0" containsNumber="1" containsInteger="1" minValue="0" maxValue="31"/>
    </cacheField>
    <cacheField name="DESCRIPCIÓN DE MEJORAS" numFmtId="0">
      <sharedItems containsBlank="1" longText="1"/>
    </cacheField>
    <cacheField name="ACCIÓN" numFmtId="0">
      <sharedItems containsBlank="1" longText="1"/>
    </cacheField>
    <cacheField name="IMPLEMENTADO" numFmtId="0">
      <sharedItems containsNonDate="0" containsDate="1" containsString="0" containsBlank="1" minDate="2026-01-23T00:00:00" maxDate="2027-01-01T00:00:00"/>
    </cacheField>
    <cacheField name="SITIO" numFmtId="0">
      <sharedItems containsBlank="1"/>
    </cacheField>
    <cacheField name="UNIDAD" numFmtId="0">
      <sharedItems containsBlank="1" count="11">
        <s v="Laboratorio"/>
        <s v="Ecografos"/>
        <s v="Depósito"/>
        <s v="Mantenimiento"/>
        <s v="Sameday"/>
        <s v="Area comun"/>
        <s v="BBTI"/>
        <s v="Venta Ferbi-JBL"/>
        <m/>
        <s v="Deposito" u="1"/>
        <s v="Despacho" u="1"/>
      </sharedItems>
    </cacheField>
    <cacheField name="PUESTO" numFmtId="0">
      <sharedItems containsBlank="1"/>
    </cacheField>
    <cacheField name="ZONA" numFmtId="0">
      <sharedItems containsString="0" containsBlank="1" containsNumber="1" containsInteger="1" minValue="1" maxValue="6" count="7">
        <n v="1"/>
        <n v="2"/>
        <n v="5"/>
        <n v="3"/>
        <n v="6"/>
        <n v="4"/>
        <m/>
      </sharedItems>
    </cacheField>
    <cacheField name="KAIZEN" numFmtId="0">
      <sharedItems containsBlank="1"/>
    </cacheField>
    <cacheField name="TEAMS" numFmtId="0">
      <sharedItems containsBlank="1"/>
    </cacheField>
    <cacheField name="ID IDOC" numFmtId="0">
      <sharedItems containsBlank="1" containsMixedTypes="1" containsNumber="1" containsInteger="1" minValue="897" maxValue="1356"/>
    </cacheField>
    <cacheField name="STATUS IDOC" numFmtId="0">
      <sharedItems containsBlank="1"/>
    </cacheField>
    <cacheField name="EQUIPO " numFmtId="0">
      <sharedItems containsBlank="1"/>
    </cacheField>
    <cacheField name="RESPONSABLE_x000a_CARGA IDOC" numFmtId="14">
      <sharedItems containsBlank="1"/>
    </cacheField>
    <cacheField name="STATUS" numFmtId="0">
      <sharedItems containsBlank="1" count="4">
        <s v="IMPLEMENTADA"/>
        <s v="NO INICIADO"/>
        <m/>
        <s v="EN PROCESO" u="1"/>
      </sharedItems>
    </cacheField>
    <cacheField name="FECHA DE CIERRE" numFmtId="14">
      <sharedItems containsNonDate="0" containsDate="1" containsString="0" containsBlank="1" minDate="2026-10-12T00:00:00" maxDate="2026-10-13T00:00:00"/>
    </cacheField>
    <cacheField name="IMPACTO _x000a_ECONÓMICO" numFmtId="0">
      <sharedItems containsBlank="1"/>
    </cacheField>
    <cacheField name="AHORRO ECONÓMICO" numFmtId="0">
      <sharedItems containsNonDate="0" containsString="0" containsBlank="1"/>
    </cacheField>
    <cacheField name="OBJ" numFmtId="0">
      <sharedItems containsNonDate="0" containsString="0" containsBlank="1"/>
    </cacheField>
    <cacheField name="Objetivo" numFmtId="0" formula="2" databaseField="0"/>
  </cacheFields>
  <extLst>
    <ext xmlns:x14="http://schemas.microsoft.com/office/spreadsheetml/2009/9/main" uri="{725AE2AE-9491-48be-B2B4-4EB974FC3084}">
      <x14:pivotCacheDefinition pivotCacheId="1380307984"/>
    </ext>
    <ext xmlns:xlpdsc="http://schemas.microsoft.com/office/spreadsheetml/2026/pivotDataSourceClean" uri="{F4336242-56EE-4DD3-A5F7-E900642BF6E9}">
      <xlpdsc:dataSourceClean>1</xlpdsc:dataSourceClea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8">
  <r>
    <n v="1"/>
    <d v="2026-01-12T00:00:00"/>
    <n v="2026"/>
    <x v="0"/>
    <n v="23"/>
    <s v="Espacio de trabajo de puesto de prensado ineficiente con oportunidad de mejora"/>
    <s v="Mejora de layout de puesto de prensado"/>
    <d v="2026-01-23T00:00:00"/>
    <s v="Rodney"/>
    <x v="0"/>
    <s v="Prensado"/>
    <x v="0"/>
    <s v="NO APLICA"/>
    <m/>
    <n v="912"/>
    <s v="IMPLEMENTADA"/>
    <s v="Pablo Amat_x000a_Luis Reyes_x000a_Leo Segovia_x000a_Melany Bolivar_x000a_Gonzalo Gomez"/>
    <s v="Melany Bolivar"/>
    <x v="0"/>
    <m/>
    <s v="NO"/>
    <m/>
    <m/>
  </r>
  <r>
    <n v="2"/>
    <d v="2026-01-14T00:00:00"/>
    <n v="2026"/>
    <x v="0"/>
    <n v="28"/>
    <s v="Falta asignar puntos de carga en estación de carga de celulares"/>
    <s v="Readecuación de estación de carga de celulares"/>
    <d v="2026-01-28T00:00:00"/>
    <s v="Rodney"/>
    <x v="0"/>
    <s v="Reparación"/>
    <x v="0"/>
    <s v="NO APLICA"/>
    <s v="https://mirgor.sharepoint.com/sites/RODNEY/Shared%20Documents/RODNEY/GENERALES/MEJORA%20CONTINUA/6.%20IMPLEMENTACION%20DE%20ESTACION%20DE%20CARGA%20DE%20BATERIA"/>
    <n v="922"/>
    <s v="IMPLEMENTADA"/>
    <s v="Luis Reyes_x000a_Melany Bolivar"/>
    <s v="Luis Reyes"/>
    <x v="0"/>
    <m/>
    <m/>
    <m/>
    <m/>
  </r>
  <r>
    <n v="3"/>
    <d v="2026-01-29T00:00:00"/>
    <n v="2026"/>
    <x v="1"/>
    <n v="12"/>
    <s v="Los ecógrafos tienen riesgo de daños, rayaduras"/>
    <s v="Adecuación de sala de OQC con protecciones para operación de ecografos"/>
    <d v="2026-02-12T00:00:00"/>
    <s v="Rodney"/>
    <x v="1"/>
    <s v="OQC"/>
    <x v="1"/>
    <s v="NO APLICA"/>
    <s v="https://mirgor.sharepoint.com/sites/RODNEY/Shared%20Documents/RODNEY/GENERALES/MEJORA%20CONTINUA/7.%20ADECUACION%20DE%20OPERACION%20DE%20EQUIPOS%20MEDICOS"/>
    <n v="974"/>
    <s v="IMPLEMENTADA"/>
    <s v="Melany Bolivar_x000a_Leo Segovia_x000a_Pablo Amat_x000a_Carolina Lepez"/>
    <s v="Melany Bolivar"/>
    <x v="0"/>
    <m/>
    <s v="NO"/>
    <m/>
    <m/>
  </r>
  <r>
    <n v="4"/>
    <d v="2026-01-29T00:00:00"/>
    <n v="2026"/>
    <x v="1"/>
    <n v="19"/>
    <s v="Grabeco no cuenta con espacio para indumentaria, mochilas"/>
    <s v="Percheros para servicios - graveco"/>
    <d v="2026-02-19T00:00:00"/>
    <s v="Rodney"/>
    <x v="1"/>
    <s v="Ecografo"/>
    <x v="1"/>
    <s v="NO APLICA"/>
    <s v="https://mirgor.sharepoint.com/sites/RODNEY/Shared%20Documents/RODNEY/GENERALES/MEJORA%20CONTINUA/13.%20IMPLEMENTACION%20FISICA%20DE%20PAÑOL%20DE%20MANTENIMIENTO%20EN%20SUBSUELO"/>
    <s v="985 / 999"/>
    <s v="IMPLEMENTADA"/>
    <s v="Carolina Lepez_x000a_W. Marquez"/>
    <s v="Carolina Lepez"/>
    <x v="0"/>
    <m/>
    <m/>
    <m/>
    <m/>
  </r>
  <r>
    <n v="5"/>
    <d v="2026-01-15T00:00:00"/>
    <n v="2026"/>
    <x v="1"/>
    <n v="20"/>
    <s v="No se cuenta con proceso de rotura de pantalla de celulares"/>
    <s v="Optimización de puesto de rotura de pantalla "/>
    <d v="2026-02-20T00:00:00"/>
    <s v="Rodney"/>
    <x v="0"/>
    <s v="OQC"/>
    <x v="0"/>
    <s v="NO APLICA"/>
    <s v="https://mirgor.sharepoint.com/sites/RODNEY/Shared%20Documents/RODNEY/GENERALES/MEJORA%20CONTINUA/4.%20OPTIMIZACION%20DE%20PUESTO%20DE%20ROTURA%20DE%20PANTALLA"/>
    <n v="897"/>
    <s v="IMPLEMENTADA"/>
    <s v="Pablo Amat_x000a_Luis Reyes_x000a_Melany Bolivar_x000a_Gonzalo Gomez"/>
    <s v="Melany Bolivar"/>
    <x v="0"/>
    <m/>
    <s v="NO"/>
    <m/>
    <m/>
  </r>
  <r>
    <n v="6"/>
    <d v="2026-02-06T00:00:00"/>
    <n v="2026"/>
    <x v="1"/>
    <n v="20"/>
    <s v="Los ecografos se almacenan a piso con complejidad para picking"/>
    <s v="Adecuación de picking de ecografos, accesorios"/>
    <d v="2026-02-20T00:00:00"/>
    <s v="Rodney"/>
    <x v="1"/>
    <s v="Depósito"/>
    <x v="1"/>
    <s v="APLICA"/>
    <s v="https://mirgor.sharepoint.com/sites/RODNEY/Shared%20Documents/RODNEY/GENERALES/MEJORA%20CONTINUA/3.%20ADECUACIÓN%20DE%20PICKING%20DE%20EQUIPOS%20MEDICOS"/>
    <n v="936"/>
    <s v="IMPLEMENTADA"/>
    <s v="Luis Reyes_x000a_Melany Bolivar_x000a_Leo Segovia_x000a_Pablo Amat_x000a_Matias Lousame_x000a_Carolina Lepez"/>
    <s v="Melany Bolivar"/>
    <x v="0"/>
    <m/>
    <m/>
    <m/>
    <m/>
  </r>
  <r>
    <n v="7"/>
    <d v="2026-03-02T00:00:00"/>
    <n v="2026"/>
    <x v="2"/>
    <n v="2"/>
    <s v="No se cuenta con estaciones de reflash, software, logs"/>
    <s v="Se añade 3 Puesto de FENRIR identificado en cada isla de reparación."/>
    <d v="2026-03-02T00:00:00"/>
    <s v="Rodney"/>
    <x v="0"/>
    <s v="Reparación"/>
    <x v="0"/>
    <s v="NO APLICA"/>
    <s v="https://mirgor.sharepoint.com/:f:/s/RODNEY/IgDGtBiKiClfQZD0aE3q-u1fAfSfPRYbf_1zUO94l2iGzDg?e=fqKIzT"/>
    <n v="988"/>
    <s v="IMPLEMENTADA"/>
    <s v="Gonzalo Gomez"/>
    <s v="Gonzalo Gomez"/>
    <x v="0"/>
    <m/>
    <m/>
    <m/>
    <m/>
  </r>
  <r>
    <n v="8"/>
    <d v="2026-03-20T00:00:00"/>
    <n v="2026"/>
    <x v="2"/>
    <n v="10"/>
    <s v="Reduccion de costos CIPG BONDING TOOL (Herramienta para reparación de telefonía)"/>
    <s v="Reparacion de herramienta UB"/>
    <d v="2026-03-10T00:00:00"/>
    <s v="Rodney"/>
    <x v="0"/>
    <s v="Reparación"/>
    <x v="0"/>
    <s v="NO APLICA"/>
    <s v="31.REDUCCION DE COSTO - CIPG BONDING TOOL ( HERRAMIENTA PARA REPARACION DE TELEFONIA )"/>
    <n v="991"/>
    <s v="IMPLEMENTADA"/>
    <s v="Gonzalo Gomez_x000a_Leo Segovia"/>
    <s v="Gonzalo Gomez"/>
    <x v="0"/>
    <m/>
    <m/>
    <m/>
    <m/>
  </r>
  <r>
    <n v="9"/>
    <d v="2026-03-18T00:00:00"/>
    <n v="2026"/>
    <x v="2"/>
    <n v="19"/>
    <s v="El proceso de enzunchado de pallet de tv presenta riesgos ergonomicos"/>
    <s v="Soporte para paletizado de tv"/>
    <d v="2026-03-19T00:00:00"/>
    <s v="Rodney"/>
    <x v="2"/>
    <s v="tv"/>
    <x v="2"/>
    <s v="APLICA"/>
    <s v="https://mirgor.sharepoint.com/sites/RODNEY/Shared%20Documents/RODNEY/GENERALES/MEJORA%20CONTINUA/29.%20ENZUNCHADO%20DE%20PALLET%20DE%20TV"/>
    <n v="983"/>
    <s v="IMPLEMENTADA"/>
    <s v="Matias Pavon_x000a_Melany Bolivar_x000a_Leo Segovia"/>
    <s v="Matias Pavon"/>
    <x v="0"/>
    <m/>
    <m/>
    <m/>
    <m/>
  </r>
  <r>
    <n v="10"/>
    <d v="2026-03-04T00:00:00"/>
    <n v="2026"/>
    <x v="2"/>
    <n v="26"/>
    <s v="Las mesas de trabajo no cuentan con un estándar de alturas de trabajo, disposición de materiales, varios"/>
    <s v="Adecuación de altura estándar de mesa de trabajo"/>
    <d v="2026-03-26T00:00:00"/>
    <s v="Rodney"/>
    <x v="0"/>
    <s v="Laboratorio"/>
    <x v="0"/>
    <s v="NO APLICA"/>
    <s v="https://mirgor.sharepoint.com/sites/RODNEY/Shared%20Documents/RODNEY/GENERALES/MEJORA%20CONTINUA/2.%20ADECUACION%20ESTANDAR%20DE%20MESA%20DE%20TRABAJO"/>
    <n v="1121"/>
    <s v="IMPLEMENTADA"/>
    <s v="Pablo Amat_x000a_Luis Reyes_x000a_Leo Segovia_x000a_Melany Bolivar_x000a_Gonzalo Gomez_x000a_Ale.lobos"/>
    <s v="Luis Reyes"/>
    <x v="0"/>
    <m/>
    <s v="NO"/>
    <m/>
    <m/>
  </r>
  <r>
    <n v="11"/>
    <d v="2026-02-04T00:00:00"/>
    <n v="2026"/>
    <x v="2"/>
    <n v="26"/>
    <s v="No se cuenta con trazabilidad de partes falladas"/>
    <s v="Puesto de evidencia para partes falladas"/>
    <d v="2026-03-26T00:00:00"/>
    <s v="Rodney"/>
    <x v="0"/>
    <s v="Laboratorio"/>
    <x v="0"/>
    <s v="NO APLICA"/>
    <s v="https://mirgor.sharepoint.com/:f:/s/RODNEY/IgCL002YRHuuSLB2GdbTYppkAUSVKLsOGtXO5VN0nvnGhY4?e=vw4xqe"/>
    <n v="1002"/>
    <s v="IMPLEMENTADA"/>
    <s v="Gonzalo Gomez"/>
    <s v="Gonzalo Gomez"/>
    <x v="0"/>
    <m/>
    <m/>
    <m/>
    <m/>
  </r>
  <r>
    <n v="12"/>
    <d v="2026-02-10T00:00:00"/>
    <n v="2026"/>
    <x v="3"/>
    <n v="2"/>
    <s v="Laboratorio no cuenta con espacio físico para acopio de repuestos, herramientas, varios"/>
    <s v="Mejora de layout subsuelo"/>
    <d v="2026-04-02T00:00:00"/>
    <s v="Rodney"/>
    <x v="3"/>
    <s v="Mantenimiento"/>
    <x v="3"/>
    <s v="APLICA"/>
    <m/>
    <s v="1015/987"/>
    <s v="IMPLEMENTADA"/>
    <s v="Elis Gil_x000a_Luis Reyes_x000a_Pablo Amat_x000a_Leo Segovia"/>
    <s v="Melany Bolivar"/>
    <x v="0"/>
    <m/>
    <m/>
    <m/>
    <m/>
  </r>
  <r>
    <n v="13"/>
    <d v="2026-04-03T00:00:00"/>
    <n v="2026"/>
    <x v="3"/>
    <n v="3"/>
    <s v="No se discrimina irreparables / no reparables"/>
    <s v="Division de gavetas (IRREPARABLES / NO REPARABLE)"/>
    <d v="2026-04-03T00:00:00"/>
    <s v="Rodney"/>
    <x v="0"/>
    <s v="Reparación"/>
    <x v="0"/>
    <s v="NO APLICA"/>
    <s v="https://mirgor.sharepoint.com/:f:/s/RODNEY/IgDUJrPTKYYTRZEM2GSgKuuuAdlHSPw91be-84Vc0fS9ZJo?e=3Shccd"/>
    <n v="1010"/>
    <s v="IMPLEMENTADA"/>
    <s v="Gonzalo Gomez"/>
    <s v="Gonzalo Gomez"/>
    <x v="0"/>
    <m/>
    <m/>
    <m/>
    <m/>
  </r>
  <r>
    <n v="14"/>
    <d v="2026-04-01T00:00:00"/>
    <n v="2026"/>
    <x v="3"/>
    <n v="4"/>
    <s v="No se cuenta con trazabilidad de repuestos de herramientas"/>
    <s v="Registro de stock de herramientas del laboratorio"/>
    <d v="2026-04-04T00:00:00"/>
    <s v="Rodney"/>
    <x v="0"/>
    <s v="Reparación"/>
    <x v="0"/>
    <s v="NO APLICA"/>
    <s v="33.MEJORA EN EL REGISTRO DE STOCK DE HERRAMIENTAS DEL LABORATORIO"/>
    <n v="1009"/>
    <s v="IMPLEMENTADA"/>
    <s v="Gonzalo Gomez"/>
    <s v="Gonzalo Gomez"/>
    <x v="0"/>
    <m/>
    <m/>
    <m/>
    <m/>
  </r>
  <r>
    <n v="15"/>
    <d v="2026-04-17T00:00:00"/>
    <n v="2026"/>
    <x v="3"/>
    <n v="17"/>
    <s v="El tablero de gestión visual dificulta el tránsito operativo"/>
    <s v="Mejora de layout Laboratorio  (Tablero gestión visual)"/>
    <d v="2026-04-17T00:00:00"/>
    <s v="Rodney"/>
    <x v="0"/>
    <s v="Reparación"/>
    <x v="0"/>
    <s v="NO APLICA"/>
    <s v="https://mirgor.sharepoint.com/:f:/s/RODNEY/IgA18dZvKcfsQ5_mvy52RU3OAeaySGNImDx2yLBNiT6wHLY?e=7z5Yms"/>
    <s v="1033 / 1091"/>
    <s v="IMPLEMENTADA"/>
    <s v="Gonzalo Gomez _x000a_M.Bolivar_x000a_L.Segovia_x000a_M.Lousame"/>
    <s v="Gonzalo Gomez"/>
    <x v="0"/>
    <m/>
    <m/>
    <m/>
    <m/>
  </r>
  <r>
    <n v="16"/>
    <d v="2026-05-04T00:00:00"/>
    <n v="2026"/>
    <x v="4"/>
    <n v="4"/>
    <s v="Falta asignación de perchero en layout"/>
    <s v="Mejora de layout Laboratorio (Perchero)"/>
    <d v="2026-05-04T00:00:00"/>
    <s v="Rodney"/>
    <x v="0"/>
    <s v="Reparación"/>
    <x v="0"/>
    <s v="NO APLICA"/>
    <s v="https://mirgor.sharepoint.com/:f:/s/RODNEY/IgBKf12dEQzAQ40A8yso-t5IAQASHxioL_XHBobWH64Jo0M?e=JR1gIM"/>
    <n v="1091"/>
    <s v="IMPLEMENTADA"/>
    <s v="Gonzalo Gomez_x000a_P.amat"/>
    <s v="Gonzalo Gomez"/>
    <x v="0"/>
    <m/>
    <m/>
    <m/>
    <m/>
  </r>
  <r>
    <n v="17"/>
    <d v="2026-06-01T00:00:00"/>
    <n v="2026"/>
    <x v="5"/>
    <n v="2"/>
    <s v="Aseguramiento de productos SAMEDAY (Jaula+CajaFuerte)"/>
    <s v="Construcción de jaula para transporte productos piso 2"/>
    <d v="2026-06-02T00:00:00"/>
    <s v="Rodney"/>
    <x v="2"/>
    <s v="Sameday"/>
    <x v="2"/>
    <s v="NO APLICA"/>
    <s v="https://mirgor.sharepoint.com/sites/RODNEY/Shared%20Documents/RODNEY/GENERALES/MEJORA%20CONTINUA/26.%20ASEGURAMIENTO%20DE%20PRODUCTOS"/>
    <n v="1118"/>
    <s v="IMPLEMENTADA"/>
    <s v="Equipo Rodney"/>
    <s v="Leonel Segovia"/>
    <x v="0"/>
    <m/>
    <m/>
    <m/>
    <m/>
  </r>
  <r>
    <n v="18"/>
    <d v="2026-06-05T00:00:00"/>
    <n v="2026"/>
    <x v="5"/>
    <n v="8"/>
    <s v="Planificar y ejecutar proyecto de SAMEDAY con equipo garantizando capacidad y flujo operativo"/>
    <s v="Reaciondicionamiento de espacio para proyecto SAMEDAY"/>
    <d v="2026-06-08T00:00:00"/>
    <s v="Rodney"/>
    <x v="4"/>
    <s v="Sameday"/>
    <x v="4"/>
    <s v="NO APLICA"/>
    <s v="https://mirgor.sharepoint.com/:f:/s/RODNEY/IgBuiikDJJCyRYhPSU40SmfFAduKEOk5WzrOuR_xYC774BE?e=Etq39V"/>
    <n v="1117"/>
    <s v="IMPLEMENTADA"/>
    <s v="Equipo Rodney"/>
    <s v="Melany Bolivar"/>
    <x v="0"/>
    <m/>
    <m/>
    <m/>
    <m/>
  </r>
  <r>
    <n v="19"/>
    <d v="2026-06-04T00:00:00"/>
    <n v="2026"/>
    <x v="5"/>
    <n v="10"/>
    <s v="El proceso de manipulación de TV tiene riesgos ergonomicos y operativos"/>
    <s v="Carro funcional ergonomico para TV"/>
    <d v="2026-06-10T00:00:00"/>
    <s v="Rodney"/>
    <x v="2"/>
    <s v="tv"/>
    <x v="2"/>
    <s v="APLICA"/>
    <s v="https://mirgor.sharepoint.com/sites/RODNEY/Shared%20Documents/RODNEY/GENERALES/MEJORA%20CONTINUA/8.%20ADECUACION%20DE%20MANIPULACION%20DE%20TV"/>
    <n v="1145"/>
    <s v="IMPLEMENTADA"/>
    <s v="Matias Pavon_x000a_Gabriel Duran_x000a_Melany Bolivar_x000a_Luis Reyes"/>
    <s v="Leonel Segovia"/>
    <x v="0"/>
    <m/>
    <m/>
    <m/>
    <m/>
  </r>
  <r>
    <n v="20"/>
    <d v="2026-06-04T00:00:00"/>
    <n v="2026"/>
    <x v="5"/>
    <n v="10"/>
    <s v="No existe espacio de implementación de buzon de mejoras y tv"/>
    <s v="Implementación buzon de mejoras"/>
    <d v="2026-06-10T00:00:00"/>
    <s v="Rodney"/>
    <x v="5"/>
    <s v="Pasillo PB"/>
    <x v="1"/>
    <s v="NO APLICA"/>
    <s v="https://mirgor.sharepoint.com/sites/RODNEY/Shared%20Documents/RODNEY/GENERALES/MEJORA%20CONTINUA/20.%20IMPLEMENTACION%20DE%20BUZON%20DE%20MEJORA%20Y%20TV"/>
    <n v="1181"/>
    <s v="IMPLEMENTADA"/>
    <s v="S. Beltrame_x000a_Melany Bolivar_x000a_Leo Segovia"/>
    <s v="Carlos Lopez"/>
    <x v="0"/>
    <m/>
    <m/>
    <m/>
    <m/>
  </r>
  <r>
    <n v="21"/>
    <d v="2026-06-01T00:00:00"/>
    <n v="2026"/>
    <x v="5"/>
    <n v="12"/>
    <s v="Aumentar capacidad de almacenamiento actual en depósito"/>
    <s v="Proyectar, cotizar y ejecutar ampliación de racks"/>
    <d v="2026-06-12T00:00:00"/>
    <s v="Rodney"/>
    <x v="2"/>
    <s v="Deposito"/>
    <x v="2"/>
    <s v="NO APLICA"/>
    <s v="https://mirgor.sharepoint.com/sites/RODNEY/Shared%20Documents/RODNEY/GENERALES/MEJORA%20CONTINUA/Aumento%20de%20Capacidad%20de%20Almacenamiento"/>
    <n v="1116"/>
    <s v="IMPLEMENTADA"/>
    <s v="Melany Bolivar_x000a_Matias Pavon_x000a_Matias Lousame"/>
    <s v="Melany Bolivar"/>
    <x v="0"/>
    <m/>
    <m/>
    <m/>
    <m/>
  </r>
  <r>
    <n v="22"/>
    <d v="2026-02-02T00:00:00"/>
    <n v="2026"/>
    <x v="5"/>
    <n v="29"/>
    <s v="El registro de liberación de ecógrafos se realiza de forma manual"/>
    <s v="Registro optimizado de liberación de Ecógrafos"/>
    <d v="2026-06-29T00:00:00"/>
    <s v="Rodney"/>
    <x v="1"/>
    <s v="OQC"/>
    <x v="1"/>
    <s v="NO APLICA"/>
    <s v="https://mirgor.sharepoint.com/sites/RODNEY/Shared%20Documents/RODNEY/GENERALES/MEJORA%20CONTINUA/5.%20REGISTRO%20OPTIMIZADO%20DE%20LIBERACIÓN%20DE%20ECÓGRAFOS"/>
    <n v="1122"/>
    <s v="IMPLEMENTADA"/>
    <s v="Carolina Lepez_x000a_W. Marquez"/>
    <s v="Carolina Lepez"/>
    <x v="0"/>
    <m/>
    <m/>
    <m/>
    <m/>
  </r>
  <r>
    <n v="23"/>
    <d v="2026-07-06T00:00:00"/>
    <n v="2026"/>
    <x v="6"/>
    <n v="6"/>
    <s v="Las llaves de las zonas del edificio se encuentran con riesgo a perdida, no estan inventariadas ni en posición fija"/>
    <s v="Mejorar disposicion de llaves"/>
    <d v="2026-07-06T00:00:00"/>
    <s v="Rodney"/>
    <x v="5"/>
    <s v="General"/>
    <x v="1"/>
    <s v="NO APLICA"/>
    <s v="RODNEY - Documentos - 43. MEJORA DE LLAVES - SECTOR SEGURIDAD"/>
    <n v="1175"/>
    <s v="IMPLEMENTADA"/>
    <s v="Luis Reyes"/>
    <s v="Elis Gil"/>
    <x v="0"/>
    <m/>
    <m/>
    <m/>
    <m/>
  </r>
  <r>
    <n v="24"/>
    <d v="2026-07-10T00:00:00"/>
    <n v="2026"/>
    <x v="6"/>
    <n v="10"/>
    <s v="Mejora de layout Laboratorio estanteria de despacho-insumos_x000a_Mejora de disposición de mercadería eficiente"/>
    <s v="Mejorar estanteria de despacho e insumos"/>
    <d v="2026-07-10T00:00:00"/>
    <s v="Rodney"/>
    <x v="0"/>
    <s v="Ceulares"/>
    <x v="0"/>
    <s v="NO APLICA"/>
    <s v="39. Mejora de layout Laboratorio estanteria de despacho-insumos"/>
    <n v="1158"/>
    <s v="IMPLEMENTADA"/>
    <s v="Gonzalo Gomez"/>
    <s v="Gonzalo Gomez"/>
    <x v="0"/>
    <m/>
    <m/>
    <m/>
    <m/>
  </r>
  <r>
    <n v="25"/>
    <d v="2026-07-20T00:00:00"/>
    <n v="2026"/>
    <x v="6"/>
    <n v="20"/>
    <s v="Reducción de consumo de papel en etiquetado de insumos"/>
    <s v="Hacer identificacion de pallet reutilizable "/>
    <d v="2026-07-20T00:00:00"/>
    <s v="Rodney"/>
    <x v="2"/>
    <s v="Deposito"/>
    <x v="2"/>
    <s v="NO APLICA"/>
    <s v="https://mirgor.sharepoint.com/sites/RODNEY/Shared%20Documents/RODNEY/GENERALES/MEJORA%20CONTINUA/21.%20REDUCCIÓN%20DE%20CONSUMO%20DE%20PAPEL"/>
    <n v="1178"/>
    <s v="IMPLEMENTADA"/>
    <s v="Matias Pavon_x000a_Gabriel Duran_x000a_Melany Bolivar_x000a_Matias Lousame"/>
    <s v="Melany Bolivar"/>
    <x v="0"/>
    <m/>
    <m/>
    <m/>
    <m/>
  </r>
  <r>
    <n v="26"/>
    <d v="2026-07-20T00:00:00"/>
    <n v="2026"/>
    <x v="6"/>
    <n v="20"/>
    <s v="Mejora de ingreso / Egreso de personas "/>
    <s v="Mejorar ingreso - egreso de personal"/>
    <d v="2026-07-20T00:00:00"/>
    <s v="Rodney"/>
    <x v="5"/>
    <s v="Area comun"/>
    <x v="1"/>
    <s v="NO APLICA"/>
    <s v="https://mirgor.sharepoint.com/:f:/s/RODNEY/IgBOu1Ibo_x3RLFEydzggFTnAWivpsiFyRr_LaeBNaSrsbE?e=Wianx9"/>
    <n v="1176"/>
    <s v="IMPLEMENTADA"/>
    <s v="Elis Gil"/>
    <s v="Elis Gil"/>
    <x v="0"/>
    <m/>
    <m/>
    <m/>
    <m/>
  </r>
  <r>
    <n v="27"/>
    <d v="2026-07-20T00:00:00"/>
    <n v="2026"/>
    <x v="6"/>
    <n v="20"/>
    <s v="El indicador de ausentismo no cuenta con un control operativo eficiente_x000a_Mejorar base de información actual y eficientizar la base visual para la toma de decisiones"/>
    <s v="Estandarizar gestion de ausentismo"/>
    <d v="2026-07-20T00:00:00"/>
    <s v="Rodney"/>
    <x v="5"/>
    <s v="General"/>
    <x v="1"/>
    <s v="NO APLICA"/>
    <s v="https://mirgor.sharepoint.com/:f:/s/RODNEY/IgDdf3Hvks7GSbIKDneNbSY6AQwmXbwnNUCy-tPnN2r99uc?e=nTGcdo"/>
    <n v="1177"/>
    <s v="IMPLEMENTADA"/>
    <s v="Matias Lousame"/>
    <s v="Matias Lousame"/>
    <x v="0"/>
    <m/>
    <m/>
    <m/>
    <m/>
  </r>
  <r>
    <n v="28"/>
    <d v="2026-07-21T00:00:00"/>
    <n v="2026"/>
    <x v="6"/>
    <n v="21"/>
    <s v="Mejorar la operación y la ergonomia de bolsines_x000a_Eficientizar la ganchera de transición entre Deposito y BBTI"/>
    <s v="Mejorar ingreso de bolsines a BBTI"/>
    <d v="2026-07-21T00:00:00"/>
    <s v="Rodney"/>
    <x v="2"/>
    <s v="BBTI-Depo"/>
    <x v="5"/>
    <s v="NO APLICA"/>
    <s v="https://mirgor.sharepoint.com/sites/RODNEY/Shared%20Documents/RODNEY/GENERALES/MEJORA%20CONTINUA/28.%20BOLSINES%20DE%20CELULARES"/>
    <n v="1179"/>
    <s v="IMPLEMENTADA"/>
    <s v="Equipo Rodney"/>
    <s v="Luis Reyes"/>
    <x v="0"/>
    <m/>
    <m/>
    <m/>
    <m/>
  </r>
  <r>
    <n v="29"/>
    <d v="2026-07-21T00:00:00"/>
    <n v="2026"/>
    <x v="6"/>
    <n v="21"/>
    <s v="Mejora de visualización de puerta de circulación de personas entre areas"/>
    <s v="Retirar puerta de circulación para evitar accidentes"/>
    <d v="2026-07-21T00:00:00"/>
    <s v="Rodney"/>
    <x v="6"/>
    <s v="BBTI-Depo"/>
    <x v="5"/>
    <s v="NO APLICA"/>
    <s v="https://mirgor.sharepoint.com/sites/RODNEY/Shared%20Documents/RODNEY/GENERALES/MEJORA%20CONTINUA/23.%20MEJORA%20DE%20VISUALIZACIÓN%20DE%20PUERTA%20DE%20CIRCULACIÓN%20ENTRE%20AREAS"/>
    <n v="1180"/>
    <s v="IMPLEMENTADA"/>
    <s v="Luis Reyes"/>
    <s v="Luis Reyes"/>
    <x v="0"/>
    <m/>
    <m/>
    <m/>
    <m/>
  </r>
  <r>
    <n v="30"/>
    <d v="2026-07-21T00:00:00"/>
    <n v="2026"/>
    <x v="7"/>
    <n v="28"/>
    <s v="Modernización de apertura y cierre de porton exterior"/>
    <s v="Automatización de portón_x000a_1. Mejora de botón para subida y bajada_x000a_2. Mecanismo con enclavamiento para autonomia de subida y bajada_x000a_3. Colocar finales de carrera para evitar sobre giros de cortinas_x000a_4. Implementación de aplicativo para operatividad por RF y/o dispositivo celular_x000a_5. Integración de iluminación calle Leiva"/>
    <d v="2026-08-28T00:00:00"/>
    <s v="Rodney"/>
    <x v="2"/>
    <s v="General"/>
    <x v="2"/>
    <s v="APLICA"/>
    <s v="https://mirgor.sharepoint.com/:f:/s/RODNEY/IgCA_UlF-wdjT7wH59EJ1ttPAWnduO7SkZRIyUS9eyypYFc?e=vJs0xb"/>
    <n v="1209"/>
    <s v="IMPLEMENTADA"/>
    <s v="Pablo Amat"/>
    <s v="Pablo Amat"/>
    <x v="0"/>
    <m/>
    <m/>
    <m/>
    <m/>
  </r>
  <r>
    <n v="31"/>
    <d v="2026-07-31T00:00:00"/>
    <n v="2026"/>
    <x v="7"/>
    <n v="30"/>
    <s v="Falta conectividad de operaciones en deposito_x000a_Access points en el deposito + cableado de red"/>
    <s v="Mejora de WIFI en deposito"/>
    <d v="2026-08-30T00:00:00"/>
    <s v="Rodney"/>
    <x v="2"/>
    <s v="Generales"/>
    <x v="2"/>
    <s v="NO APLICA"/>
    <s v="RODNEY - Documentos - 39.Mejora wifi en Deposito - Todos los documentos"/>
    <n v="1349"/>
    <s v="IMPLEMENTADA"/>
    <s v="Ramiro Di Bernardo"/>
    <s v="Ramiro Di Bernardo"/>
    <x v="0"/>
    <m/>
    <m/>
    <m/>
    <m/>
  </r>
  <r>
    <n v="32"/>
    <d v="2026-08-03T00:00:00"/>
    <n v="2026"/>
    <x v="8"/>
    <n v="1"/>
    <s v="Clasificación de carga de bidones de agua en estructura,_x000a_Disponer de 3 niveles con impacto ergonómico para bidones vacíos_x000a_Disponer de resto de niveles sin impacto ergónomico para cargar bidones llenos"/>
    <s v="Clasificacion de bidones de agua en estructura"/>
    <d v="2026-09-01T00:00:00"/>
    <s v="Rodney"/>
    <x v="3"/>
    <s v="General"/>
    <x v="3"/>
    <s v="NO APLICA"/>
    <s v="https://mirgor.sharepoint.com/:x:/s/RODNEY/IQAiF3OYIOVvTovnBaJGWVhbARR7O-oejfr19NzjrPfRA_U?e=X6WgMp"/>
    <n v="1255"/>
    <s v="IMPLEMENTADA"/>
    <s v="Melany Bolivar_x000a_Leo Segovia_x000a_Luis Reyes"/>
    <s v="Silvana Beltrame"/>
    <x v="0"/>
    <m/>
    <s v="NO"/>
    <m/>
    <m/>
  </r>
  <r>
    <n v="33"/>
    <d v="2026-08-03T00:00:00"/>
    <n v="2026"/>
    <x v="8"/>
    <n v="30"/>
    <s v="Destinar baño de piso 2, fuera de uso como deposito intermedio para consumibles,_x000a_Reacondicionar espacio para utilización posterior como deposito, mejorando la caminata de operaciones para picking de consumibles"/>
    <s v="Depsito para consumibles &quot;baño&quot; piso 2"/>
    <d v="2026-09-30T00:00:00"/>
    <s v="Rodney"/>
    <x v="4"/>
    <s v="Deposito"/>
    <x v="4"/>
    <s v="NO APLICA"/>
    <s v="https://mirgor.sharepoint.com/sites/RODNEY/Shared%20Documents/RODNEY/GENERALES/MEJORA%20CONTINUA/30.%20CONSUMIBLES%202DO%20PISO"/>
    <n v="1254"/>
    <s v="IMPLEMENTADA"/>
    <s v="Luis Reyes_x000a_Matias Pavon"/>
    <s v="Luis Reyes"/>
    <x v="0"/>
    <m/>
    <s v="SI"/>
    <m/>
    <m/>
  </r>
  <r>
    <n v="34"/>
    <d v="2026-08-31T00:00:00"/>
    <n v="2026"/>
    <x v="8"/>
    <n v="30"/>
    <s v="Evitar perdidas de lapiceras en ubicaciones de registros en planta_x000a_Diseñar, ejecutar e imprimir soporte 3d para colocar lapiceras_x000a_Agregar costos para hacer un look across (Leo Segovia)_x000a__x000a_Costo unitario: $730,91 _x000a_Costo implementación: $14618,20 (20 unidades totales)_x000a_Compra de birome por pérdida: $ XXX"/>
    <s v="Soporte 3d para colocar lapiceras"/>
    <d v="2026-09-30T00:00:00"/>
    <s v="Rodney"/>
    <x v="5"/>
    <s v="Generales"/>
    <x v="1"/>
    <s v="NO APLICA"/>
    <m/>
    <n v="1348"/>
    <s v="IMPLEMENTADA"/>
    <s v="Leo Segovia"/>
    <s v="Leo Segovia"/>
    <x v="0"/>
    <m/>
    <s v="SI"/>
    <m/>
    <m/>
  </r>
  <r>
    <n v="35"/>
    <d v="2026-09-05T00:00:00"/>
    <n v="2026"/>
    <x v="9"/>
    <n v="5"/>
    <s v="Reubicación de rollos de film _x000a_1. Relevar cantidad de pallets que pueden reubicarse. 1 pallet en total_x000a_2. Diseñar estructura para colocar los films de forma tal que tenga capacidad de 1 pallet_x000a_3. Armar estructura, colocar a piso de planta, cargar con mercadería y zonificar"/>
    <s v="Reubicacion de rollos film"/>
    <d v="2026-10-05T00:00:00"/>
    <s v="Rodney"/>
    <x v="2"/>
    <s v="Depósito"/>
    <x v="2"/>
    <s v="NO APLICA"/>
    <s v="https://mirgor.sharepoint.com/:f:/s/RODNEY/IgDiMloAp0LDR6Pu4pWHX9VpAVXOgWuYIxZZ10Z5FvQdLvI?e=xRAQtS"/>
    <n v="1321"/>
    <s v="IMPLEMENTADA"/>
    <s v="Melany Bolivar_x000a_Leonel Segovia_x000a_Matias Pavón"/>
    <s v="Camila Basualdo"/>
    <x v="0"/>
    <d v="2026-10-12T00:00:00"/>
    <s v="SI"/>
    <m/>
    <m/>
  </r>
  <r>
    <n v="36"/>
    <d v="2026-10-10T00:00:00"/>
    <n v="2026"/>
    <x v="9"/>
    <n v="28"/>
    <s v="Mantenimiento no cuenta con espacio físico para acopio de repuestos, herramientas, varios"/>
    <s v="Incorporar racks en subsuelo para pañol de mantenimiento"/>
    <d v="2026-10-28T00:00:00"/>
    <s v="Rodney"/>
    <x v="3"/>
    <s v="Mantenimiento"/>
    <x v="3"/>
    <s v="NO APLICA"/>
    <s v="https://mirgor.sharepoint.com/sites/RODNEY/Shared%20Documents/RODNEY/GENERALES/MEJORA%20CONTINUA/13.%20IMPLEMENTACION%20FISICA%20DE%20PAÑOL%20DE%20MANTENIMIENTO%20EN%20SUBSUELO"/>
    <n v="1351"/>
    <s v="IMPLEMENTADA"/>
    <s v="Pablo Amat_x000a_Leonel Segovia_x000a_Luis Reyes"/>
    <s v="Pablo Amat"/>
    <x v="0"/>
    <m/>
    <m/>
    <m/>
    <m/>
  </r>
  <r>
    <n v="37"/>
    <d v="2026-10-12T00:00:00"/>
    <n v="2026"/>
    <x v="9"/>
    <n v="30"/>
    <s v="Se dispone de armarios en cada piso para que limpieza cuente con un stock_x000a_ en todos los pisos"/>
    <s v="Adecuacion de espacio en cada piso para limpieza"/>
    <d v="2026-10-30T00:00:00"/>
    <s v="Rodney"/>
    <x v="5"/>
    <s v="Limpieza"/>
    <x v="1"/>
    <s v="NO APLICA"/>
    <m/>
    <n v="1350"/>
    <s v="IMPLEMENTADA"/>
    <s v="Melany Bolivar"/>
    <s v="Melany Bolivar"/>
    <x v="0"/>
    <m/>
    <m/>
    <m/>
    <m/>
  </r>
  <r>
    <n v="38"/>
    <d v="2026-01-01T00:00:00"/>
    <n v="2026"/>
    <x v="9"/>
    <n v="30"/>
    <s v="Por obsolescencia de materiales, dispositivos, y eficiencia de iluminación se evalua recambio de luminaria a formato LED_x000a_Mejora de Eficiencia Energética :_x000a_Hall de ingreso _x000a_Iluminación comedor (abril)_x000a_Iluminación piso 1 _x000a_Iluminación deposito_x000a_Metrica: $/Kwh ahorro"/>
    <s v="Mejora de Eficiencia Energética"/>
    <d v="2026-10-30T00:00:00"/>
    <s v="Rodney"/>
    <x v="5"/>
    <s v="Depósito"/>
    <x v="1"/>
    <s v="APLICA"/>
    <s v="https://mirgor.sharepoint.com/:f:/s/RODNEY/IgC402LyWvHYSpUvpxtnxg_nAUG-Pl6l2u6bOLeRilRPBcw?e=NbTWkr"/>
    <n v="1344"/>
    <s v="IMPLEMENTADA"/>
    <s v="Melany Bolivar_x000a_Leo Segovia_x000a_Pablo Amat_x000a_Carolina Lepez"/>
    <s v="Elis Gil"/>
    <x v="0"/>
    <m/>
    <m/>
    <m/>
    <m/>
  </r>
  <r>
    <n v="39"/>
    <d v="2026-10-28T00:00:00"/>
    <n v="2026"/>
    <x v="9"/>
    <n v="30"/>
    <s v="Relayout de puesto de recepción_x000a_1. Identificar oportunidades de mejora_x000a_2. Registrar la condición inicial de layout_x000a_3. Reorganizar el espacio:_x000a_3.1. Corrimiento de jaula 1mt hacia portón (revisar cámara)_x000a_3.2. Retiro de escritorio fuera de uso y reorganización de estanterias_x000a_3.3. Agregar estante en jaula_x000a_3.4. Armado de estructura para colocar impresoras_x000a_3.5. Agregar 1 estante para colocar stock mínimo de resma, formularios"/>
    <s v="Relayout puesto de recepción"/>
    <d v="2026-10-30T00:00:00"/>
    <s v="Rodney"/>
    <x v="2"/>
    <s v="Recepción"/>
    <x v="2"/>
    <s v="NO APLICA"/>
    <s v="https://mirgor.sharepoint.com/:f:/s/RODNEY/IgCm-3LjSpYFR7-ROBaPVFqQAa6incZFMGHHcNMLsK4sOOE?e=Y3Lo5a"/>
    <n v="1343"/>
    <s v="IMPLEMENTADA"/>
    <s v="Melany Bolivar_x000a_Magali Arteaga_x000a_Silvana Jacinto_x000a_Luis Reyes"/>
    <s v="Silvana Jacinto"/>
    <x v="0"/>
    <m/>
    <m/>
    <m/>
    <m/>
  </r>
  <r>
    <n v="40"/>
    <d v="2026-09-30T00:00:00"/>
    <n v="2026"/>
    <x v="9"/>
    <n v="30"/>
    <s v="Mejor trazabilidad de desvíos con transportistas de Calicó_x000a_1. Calico no cuenta con control de trazabilidad de mercadería_x000a_2. Registrar por foto la recepción (planilla de rendción, nota de devolución, detalle de pallet)_x000a_3. Actualizar la hoja de proceso"/>
    <s v="Mejor trazabilidad de desvíos con transportistas de Calicó"/>
    <d v="2026-10-30T00:00:00"/>
    <s v="Rodney"/>
    <x v="2"/>
    <s v="Recepción"/>
    <x v="2"/>
    <s v="NO APLICA"/>
    <s v="https://mirgor.sharepoint.com/:f:/s/RODNEY/IgD9Z0PvHo20SKyB90x8s-TvAY5xs9yHbDruAFVzHe1pbM4?e=sbzVkV"/>
    <n v="1356"/>
    <s v="IMPLEMENTADA"/>
    <s v="Silvana Jacinto_x000a_Magali Arteaga"/>
    <s v="Silvana Jacinto"/>
    <x v="0"/>
    <m/>
    <m/>
    <m/>
    <m/>
  </r>
  <r>
    <n v="41"/>
    <d v="2026-10-28T00:00:00"/>
    <n v="2026"/>
    <x v="9"/>
    <n v="31"/>
    <s v="_x000a_1. Relevar en depósito necesidad_x000a_2. Acondicionar estante para bolsin dentro de jaula"/>
    <s v="Estante para productos chicos en jaula de deposito"/>
    <d v="2026-10-31T00:00:00"/>
    <s v="Rodney"/>
    <x v="2"/>
    <s v="Recepción"/>
    <x v="2"/>
    <s v="NO APLICA"/>
    <m/>
    <n v="1353"/>
    <s v="IMPLEMENTADA"/>
    <s v="Melany Bolivar_x000a_Luis Reyes"/>
    <s v="Silvana Jacinto"/>
    <x v="0"/>
    <m/>
    <m/>
    <m/>
    <m/>
  </r>
  <r>
    <n v="42"/>
    <d v="2026-10-01T00:00:00"/>
    <n v="2026"/>
    <x v="9"/>
    <n v="31"/>
    <s v="Readecuación de estructuras para apoyo de trasductores, varios, poco eficiente restando espacio operativo para procesado de equipos_x000a_1. Analizar los movimientos_x000a_2. Reacondicionar estructura de apoyo para que sea pivoteante y que no obstruya el paso sino se usa"/>
    <s v="Estructura de apoyo pivot para transductores"/>
    <d v="2026-10-31T00:00:00"/>
    <s v="Rodney"/>
    <x v="1"/>
    <s v="Oficina de OQC, IQC"/>
    <x v="1"/>
    <s v="NO APLICA"/>
    <s v="https://mirgor.sharepoint.com/:f:/s/RODNEY/IgCbWNqA_QYdSrNTK9Rjl_p_Addj3SjjxTRGb9PJJtHTbR8?e=IOM62P"/>
    <n v="1345"/>
    <s v="IMPLEMENTADA"/>
    <s v="Leonel Segovia_x000a_Luis Reyes_x000a_Carolina Lepez"/>
    <s v="Carolina Lepez"/>
    <x v="0"/>
    <m/>
    <m/>
    <m/>
    <m/>
  </r>
  <r>
    <n v="43"/>
    <d v="2026-10-01T00:00:00"/>
    <n v="2026"/>
    <x v="9"/>
    <n v="31"/>
    <s v="Los trasductores se almacenan a piso con complejidad para picking"/>
    <s v="Replicar carro de almacenamiento equivalente a trasductores"/>
    <d v="2026-10-31T00:00:00"/>
    <s v="Rodney"/>
    <x v="1"/>
    <s v="Deposito"/>
    <x v="1"/>
    <s v="NO APLICA"/>
    <s v="https://mirgor.sharepoint.com/:f:/s/RODNEY/IgBAY_t8FYlYQIT0XFkIytPJAboelFgZssH9PqgPZaXLfBg?e=lEga4a"/>
    <n v="1352"/>
    <s v="IMPLEMENTADA"/>
    <s v="Leonel Segovia_x000a_Luis Reyes_x000a_Carolina Lepez"/>
    <s v="Leonel Segovia"/>
    <x v="0"/>
    <m/>
    <m/>
    <m/>
    <m/>
  </r>
  <r>
    <n v="44"/>
    <d v="2026-10-31T00:00:00"/>
    <n v="2026"/>
    <x v="9"/>
    <n v="31"/>
    <s v="Evitar que personal ajeno a planta visualice operaciones internas_x000a_Colocar films polarizados en toda ventana expuesta a 3ros"/>
    <s v="Film polarizado para ventanas exteriores"/>
    <d v="2026-10-31T00:00:00"/>
    <s v="Rodney"/>
    <x v="5"/>
    <s v="Generales"/>
    <x v="1"/>
    <s v="NO APLICA"/>
    <m/>
    <n v="1342"/>
    <s v="IMPLEMENTADA"/>
    <s v="Pablo Amat_x000a_Luis Reyes"/>
    <s v="Pablo Amat"/>
    <x v="0"/>
    <m/>
    <m/>
    <m/>
    <m/>
  </r>
  <r>
    <n v="45"/>
    <d v="2026-11-10T00:00:00"/>
    <n v="2026"/>
    <x v="10"/>
    <n v="10"/>
    <s v="Generar almacenamiento en layout para batch de cajas en BBTI"/>
    <s v="1. Relevar necesidad de BBTI_x000a_2. Analizar si cajon en mantenimietno cubre dicha necesidad"/>
    <d v="2026-11-10T00:00:00"/>
    <s v="Rodney"/>
    <x v="6"/>
    <s v="Generales"/>
    <x v="5"/>
    <s v="NO APLICA"/>
    <m/>
    <m/>
    <s v="NO INICIADO"/>
    <s v="Gabriel Duran_x000a_Luis Reyes"/>
    <s v="Melanie Barrios"/>
    <x v="1"/>
    <m/>
    <m/>
    <m/>
    <m/>
  </r>
  <r>
    <n v="46"/>
    <d v="2026-11-10T00:00:00"/>
    <n v="2026"/>
    <x v="10"/>
    <n v="10"/>
    <s v="Agregado de AP y mejora de conectividad de red para servicios y área soporte"/>
    <s v="1. Resta cargar evidencia "/>
    <d v="2026-11-10T00:00:00"/>
    <s v="Rodney"/>
    <x v="3"/>
    <s v="Subsuelo"/>
    <x v="3"/>
    <s v="NO APLICA"/>
    <m/>
    <m/>
    <s v="NO INICIADO"/>
    <s v="Ramiro Di Bernardo"/>
    <s v="Lucas Rodriguez"/>
    <x v="1"/>
    <m/>
    <m/>
    <m/>
    <m/>
  </r>
  <r>
    <n v="47"/>
    <d v="2026-08-31T00:00:00"/>
    <n v="2026"/>
    <x v="10"/>
    <n v="30"/>
    <s v="Optimización de disposición cajas para procesamiento en BBTI"/>
    <s v="1. Relevar layout existente y disposición de cajas_x000a_2. Reorganizar espacios para disponer las cajas aumentando la capacidad de almacenamiento (15 cajas inicialmente, 100 cajas final)_x000a_3. Cuantificar impacto para pedido de insumos a almacén "/>
    <d v="2026-11-30T00:00:00"/>
    <s v="Rodney"/>
    <x v="6"/>
    <s v="BBTI-Depo"/>
    <x v="5"/>
    <s v="APLICA"/>
    <s v="https://mirgor.sharepoint.com/:x:/s/RODNEY/IQCvJiNT_fxMQYWUPOkGKK1tAad-KYvS4jeFBWEPSyVy6r8?e=FdNKXv"/>
    <m/>
    <s v="NO INICIADO"/>
    <s v="Luis Reyes_x000a_Melany Bolivar"/>
    <s v="Luis Reyes"/>
    <x v="1"/>
    <m/>
    <m/>
    <m/>
    <m/>
  </r>
  <r>
    <n v="48"/>
    <d v="2026-11-30T00:00:00"/>
    <n v="2026"/>
    <x v="10"/>
    <n v="30"/>
    <s v="Readecuación de Nicho A3 para redistribución de bolsines amarillos"/>
    <s v="1. Reorganizar pallets en altura_x000a_2. Agregar estante en posición A3 para colocar bolsines_x000a_3. Ganancia = 2 posiciones arlog"/>
    <d v="2026-11-30T00:00:00"/>
    <s v="Rodney"/>
    <x v="2"/>
    <s v="Depósito"/>
    <x v="2"/>
    <s v="NO APLICA"/>
    <m/>
    <m/>
    <s v="NO INICIADO"/>
    <s v="Pablo Amat_x000a_Luis Reyes"/>
    <s v="Magali Arteaga"/>
    <x v="1"/>
    <m/>
    <m/>
    <m/>
    <m/>
  </r>
  <r>
    <n v="49"/>
    <d v="2026-10-31T00:00:00"/>
    <n v="2026"/>
    <x v="10"/>
    <n v="30"/>
    <s v="Rampa de transporte de bidones de agua en subsuelo"/>
    <s v="1. Diseñar y prototipar rampa para colocar entre bajada de montacarga y nivel de piso terminado de subsuelo_x000a_2. Planificar armado de rampa y probar con servicios de limpieza con carro y bidones"/>
    <d v="2026-11-30T00:00:00"/>
    <s v="Rodney"/>
    <x v="3"/>
    <s v="Subsuelo"/>
    <x v="3"/>
    <s v="NO APLICA"/>
    <s v="https://mirgor.sharepoint.com/:f:/s/RODNEY/IgCBD5uKA8iBR5S4508wcPxdAQzi41MX2vMxoJNbrj_On-E?e=GOvJXS"/>
    <m/>
    <s v="NO INICIADO"/>
    <s v="Pablo Amat_x000a_Servicios"/>
    <s v="Pablo Amat"/>
    <x v="1"/>
    <m/>
    <m/>
    <m/>
    <m/>
  </r>
  <r>
    <n v="50"/>
    <d v="2026-09-01T00:00:00"/>
    <n v="2026"/>
    <x v="10"/>
    <n v="30"/>
    <s v="Mejorar retiro de zunchos para operación en BBTI y Depósito"/>
    <s v="1. Diseñar y presupuestar pivot con base para retiro de zunchos_x000a_2. Armar prototipo con plato giratorio"/>
    <d v="2026-11-30T00:00:00"/>
    <s v="Rodney"/>
    <x v="6"/>
    <s v="BBTI-Depo"/>
    <x v="5"/>
    <s v="NO APLICA"/>
    <s v="https://mirgor.sharepoint.com/:f:/s/RODNEY/IgBOu1Ibo_x3RLFEydzggFTnAWivpsiFyRr_LaeBNaSrsbE?e=Wianx9"/>
    <m/>
    <s v="NO INICIADO"/>
    <s v="Luis Reyes_x000a_Melany Bolivar"/>
    <s v="Melanie Barrios"/>
    <x v="1"/>
    <m/>
    <m/>
    <m/>
    <m/>
  </r>
  <r>
    <n v="51"/>
    <d v="2026-09-09T00:00:00"/>
    <n v="2026"/>
    <x v="10"/>
    <n v="30"/>
    <s v="Mejora de aumento de capacidad"/>
    <s v="1. Identificar desperdicios en operación de almacen_x000a_2. Registrar desperdicios a trabajar_x000a_3. Definir primeras acciones: plantear layout alternativo (racks subsuelo para consumibles), solicitar materiales_x000a_4. Realizar montaje de estructuras_x000a_5. Reorganizar consumibles en stock_x000a_6. Cuantificar ahorro de pallet arlog en deposito"/>
    <d v="2026-11-30T00:00:00"/>
    <s v="Rodney"/>
    <x v="6"/>
    <s v="BBTI-Depo"/>
    <x v="3"/>
    <s v="APLICA"/>
    <s v="https://mirgor.sharepoint.com/:x:/s/RODNEY/IQCvJiNT_fxMQYWUPOkGKK1tAad-KYvS4jeFBWEPSyVy6r8?e=FdNKXv"/>
    <m/>
    <s v="NO INICIADO"/>
    <s v="Luis Reyes_x000a_Melany Bolivar"/>
    <s v="Carlos Lopez"/>
    <x v="1"/>
    <m/>
    <m/>
    <m/>
    <m/>
  </r>
  <r>
    <n v="52"/>
    <d v="2026-10-30T00:00:00"/>
    <n v="2026"/>
    <x v="10"/>
    <n v="30"/>
    <s v="Colocación de percheros a pared para ampliar capacidad"/>
    <s v="1. Relevar percheros fuera de uso_x000a_2. Planificar instalación_x000a_3. Instalar en coworking 1 y 2"/>
    <d v="2026-11-30T00:00:00"/>
    <s v="Rodney"/>
    <x v="2"/>
    <s v="Depósito"/>
    <x v="1"/>
    <s v="NO APLICA"/>
    <s v="https://mirgor.sharepoint.com/:f:/s/RODNEY/IgASKwkba3Y_Q4jPEaeJ1OyvAbzHNs-b_YJmpwwKjk5VneQ?e=xVTajR"/>
    <m/>
    <s v="NO INICIADO"/>
    <s v="Elis Gil_x000a_Leo Segovia"/>
    <s v="Leonel Segovia"/>
    <x v="1"/>
    <m/>
    <m/>
    <m/>
    <m/>
  </r>
  <r>
    <n v="53"/>
    <d v="2026-10-31T00:00:00"/>
    <n v="2026"/>
    <x v="10"/>
    <n v="30"/>
    <s v="Reacondicionamiento de espacio - Soporte para CPU (Laboratorio)"/>
    <s v="Adecuación de estándar de mesa de trabajo"/>
    <d v="2026-11-30T00:00:00"/>
    <s v="Rodney"/>
    <x v="0"/>
    <s v="Reparación"/>
    <x v="0"/>
    <s v="NO APLICA"/>
    <m/>
    <m/>
    <s v="NO INICIADO"/>
    <s v="Gonzalo Gomez_x000a_Melany Bolivar_x000a_Matias Lousame"/>
    <s v="Ramiro Di Bernardo"/>
    <x v="1"/>
    <m/>
    <s v="SI"/>
    <m/>
    <m/>
  </r>
  <r>
    <n v="54"/>
    <d v="2026-10-31T00:00:00"/>
    <n v="2026"/>
    <x v="10"/>
    <n v="30"/>
    <s v="Eficientizar dashboards de control de áreas operativas"/>
    <s v="Generar reunion con equipo y colectar información para KPIs"/>
    <d v="2026-11-30T00:00:00"/>
    <s v="Rodney"/>
    <x v="0"/>
    <s v="Lider / Supervisor"/>
    <x v="0"/>
    <s v="NO APLICA"/>
    <s v="https://mirgor.sharepoint.com/sites/RODNEY/Shared%20Documents/RODNEY/GENERALES/MEJORA%20CONTINUA/17.%20MEJORA%20DE%20REGISTRO%20PRODUCTIVO%20PARA%20TOMA%20DECISIONES"/>
    <m/>
    <s v="NO INICIADO"/>
    <s v="Carlos Lopez_x000a_Matias Lousame"/>
    <s v="Matias Lousame"/>
    <x v="1"/>
    <m/>
    <m/>
    <m/>
    <m/>
  </r>
  <r>
    <n v="55"/>
    <d v="2026-10-31T00:00:00"/>
    <n v="2026"/>
    <x v="10"/>
    <n v="30"/>
    <s v="El procedimiento de repuestos no se encuentra estandarizado y se evidencian ineficiencias de stocks"/>
    <s v="Optimización de gestión de repuestos"/>
    <d v="2026-11-30T00:00:00"/>
    <s v="Rodney"/>
    <x v="0"/>
    <s v="Ceulares"/>
    <x v="0"/>
    <s v="NO APLICA"/>
    <s v="https://mirgor.sharepoint.com/sites/RODNEY/Shared%20Documents/RODNEY/GENERALES/MEJORA%20CONTINUA/9.%20OPTIMIZACION%20DE%20GESTION%20DE%20REPUESTOS"/>
    <m/>
    <s v="NO INICIADO"/>
    <s v="Gonzalo Gomez_x000a_Rodrigo Pavon_x000a_Alejandro Lobos_x000a_Matias Lousame_x000a_Melany Bolivar"/>
    <s v="Javier Galas"/>
    <x v="1"/>
    <m/>
    <m/>
    <m/>
    <m/>
  </r>
  <r>
    <n v="56"/>
    <d v="2026-10-31T00:00:00"/>
    <n v="2026"/>
    <x v="10"/>
    <n v="30"/>
    <s v="Mejorar operación de enfilmado de pallet"/>
    <s v="Proyectar facilitadores de enfilmado de pallet "/>
    <d v="2026-11-30T00:00:00"/>
    <s v="Rodney"/>
    <x v="2"/>
    <s v="Sameday"/>
    <x v="2"/>
    <s v="NO APLICA"/>
    <s v="https://mirgor.sharepoint.com/sites/RODNEY/Shared%20Documents/RODNEY/GENERALES/MEJORA%20CONTINUA/27.%20ENVOLVEDORA%20MANUAL%20DE%20PALLETS"/>
    <m/>
    <s v="NO INICIADO"/>
    <s v="Equipo Rodney"/>
    <s v="Matias Pavon"/>
    <x v="1"/>
    <m/>
    <m/>
    <m/>
    <m/>
  </r>
  <r>
    <n v="57"/>
    <d v="2026-10-31T00:00:00"/>
    <n v="2026"/>
    <x v="10"/>
    <n v="30"/>
    <s v="Espacio de carga sin asignación de ubicación ni operatividad eficiente y segura"/>
    <s v="Diseñar e implementar soporte elevado para cargador de apiladora"/>
    <d v="2026-11-30T00:00:00"/>
    <s v="Rodney"/>
    <x v="5"/>
    <s v="Generales"/>
    <x v="1"/>
    <s v="NO APLICA"/>
    <s v="https://mirgor.sharepoint.com/:f:/s/RODNEY/IgDdf3Hvks7GSbIKDneNbSY6AQwmXbwnNUCy-tPnN2r99uc?e=nTGcdo"/>
    <m/>
    <s v="EN PROCESO"/>
    <s v="Pablo Amat"/>
    <s v="Pablo Amat"/>
    <x v="0"/>
    <m/>
    <m/>
    <m/>
    <m/>
  </r>
  <r>
    <n v="58"/>
    <d v="2026-10-31T00:00:00"/>
    <n v="2026"/>
    <x v="10"/>
    <n v="30"/>
    <s v="Espacio de limpieza de herramientas (pinceles, otros) de mantenimiento, limpieza "/>
    <s v="1. Reacondicionar espacio operativo para colocar bacha de limpieza y conexiones_x000a_Necesidades: _x000a_- Reutilización de bacha_x000a_- Consumibles de cañerias y accesorios de descarga (baja inversión)_x000a_- Griferia_x000a_2. Documentar y estandarizar proceso de limpieza"/>
    <d v="2026-11-30T00:00:00"/>
    <s v="Rodney"/>
    <x v="3"/>
    <s v="Subsuelo"/>
    <x v="3"/>
    <s v="NO APLICA"/>
    <m/>
    <m/>
    <s v="NO INICIADO"/>
    <m/>
    <m/>
    <x v="1"/>
    <m/>
    <m/>
    <m/>
    <m/>
  </r>
  <r>
    <n v="59"/>
    <d v="2026-10-31T00:00:00"/>
    <n v="2026"/>
    <x v="10"/>
    <n v="30"/>
    <s v="Mesa de mayorista en Ferbi "/>
    <s v="1. Analizar productos a piso para acopiar en altura_x000a_2. Diseñar y construir mesa de apoyo de productos"/>
    <d v="2026-11-30T00:00:00"/>
    <s v="Rodney"/>
    <x v="7"/>
    <s v="Despacho"/>
    <x v="1"/>
    <s v="NO APLICA"/>
    <m/>
    <m/>
    <s v="NO INICIADO"/>
    <s v="Alejandro Lobos_x000a_Luis Reyes"/>
    <s v="Alejandro Lobos"/>
    <x v="1"/>
    <m/>
    <m/>
    <m/>
    <m/>
  </r>
  <r>
    <n v="60"/>
    <d v="2026-10-31T00:00:00"/>
    <n v="2026"/>
    <x v="10"/>
    <n v="30"/>
    <s v="Tomas adicionales para coworking de área soporte"/>
    <s v="1. Analizar cantidad de tomas que faltan_x000a_2. Comprar o instalar y conectar"/>
    <d v="2026-11-30T00:00:00"/>
    <s v="Rodney"/>
    <x v="5"/>
    <s v="Coworking"/>
    <x v="1"/>
    <s v="NO APLICA"/>
    <m/>
    <m/>
    <s v="NO INICIADO"/>
    <s v="A definir"/>
    <s v="Carlos Lopez"/>
    <x v="1"/>
    <m/>
    <m/>
    <m/>
    <m/>
  </r>
  <r>
    <n v="61"/>
    <d v="2026-10-31T00:00:00"/>
    <n v="2026"/>
    <x v="10"/>
    <n v="30"/>
    <s v="Mejora de estructura y proceso de packing en operación de ferbi jbl"/>
    <s v="1. Relevar proceso y estructura actual_x000a_2. Realizar diseño y validar_x000a_3. Construir mesa de trabajo y realizar prueba"/>
    <d v="2026-11-30T00:00:00"/>
    <s v="Rodney"/>
    <x v="7"/>
    <s v="Despacho"/>
    <x v="1"/>
    <s v="NO APLICA"/>
    <m/>
    <m/>
    <s v="NO INICIADO"/>
    <s v="Melany Bolivar_x000a_Rocío Brizuela_x000a_Alegra Linares_x000a_Pablo Amat_x000a_Leonel Segovia"/>
    <s v="Pablo Amat"/>
    <x v="1"/>
    <m/>
    <m/>
    <m/>
    <m/>
  </r>
  <r>
    <n v="62"/>
    <d v="2026-11-30T00:00:00"/>
    <n v="2026"/>
    <x v="10"/>
    <n v="30"/>
    <s v="Sistema de monitoreo y control de servicios (consumos eléctricos, niveles de agua para cisterna, iluminación con encendidos automatizados, otros)"/>
    <s v="En periodo de prueba. Pendiente cierre de fecha de implementación al 100%"/>
    <d v="2026-11-30T00:00:00"/>
    <s v="Rodney"/>
    <x v="5"/>
    <s v="Generales"/>
    <x v="1"/>
    <s v="NO APLICA"/>
    <m/>
    <m/>
    <s v="NO INICIADO"/>
    <s v="Pablo Amat_x000a_Leonel Segovia_x000a_Luis Reyes"/>
    <s v="Pablo Amat"/>
    <x v="1"/>
    <m/>
    <m/>
    <m/>
    <m/>
  </r>
  <r>
    <n v="63"/>
    <d v="2026-11-30T00:00:00"/>
    <n v="2026"/>
    <x v="10"/>
    <n v="30"/>
    <s v="Estandarización de layout con marcaciones a piso con pintura"/>
    <s v="1. Marcación amarilla perimetral OK_x000a_2. Marcación con cinta amarilla espacios operativos sujetos a cambio_x000a_3. Marcación azul pendiente de compra _x000a_4. Relevar necesidades de pintura pendiente (1 roja, 4 azules)"/>
    <d v="2026-11-30T00:00:00"/>
    <s v="Rodney"/>
    <x v="2"/>
    <s v="Generales"/>
    <x v="2"/>
    <s v="NO APLICA"/>
    <m/>
    <m/>
    <s v="NO INICIADO"/>
    <s v="Pablo Amat_x000a_Leonel Segovia_x000a_Luis Reyes"/>
    <s v="Leonel Segovia"/>
    <x v="1"/>
    <m/>
    <m/>
    <m/>
    <m/>
  </r>
  <r>
    <n v="64"/>
    <d v="2026-12-10T00:00:00"/>
    <n v="2026"/>
    <x v="11"/>
    <n v="10"/>
    <s v="Implementar webcam para escaneo de IMEI en BBTI"/>
    <s v="En periodo de prueba. Pendiente cierre de fecha de implementación al 100%_x000a__x000a_Pendiente compra de cajas (ver con Marcos)"/>
    <d v="2026-12-10T00:00:00"/>
    <s v="Rodney"/>
    <x v="6"/>
    <s v="Validación y compra"/>
    <x v="5"/>
    <s v="NO APLICA"/>
    <m/>
    <m/>
    <s v="NO INICIADO"/>
    <s v="Melany Bolivar_x000a_Leonel Segovia"/>
    <s v="Melanie Barrios"/>
    <x v="1"/>
    <m/>
    <m/>
    <m/>
    <m/>
  </r>
  <r>
    <n v="65"/>
    <d v="2026-11-30T00:00:00"/>
    <n v="2026"/>
    <x v="11"/>
    <n v="30"/>
    <s v="Los procesos de atornillado no cuentan con un proceso ergonomico para la operación"/>
    <s v="Adecuar brazos ergonomicos para procesos operativos"/>
    <d v="2026-12-30T00:00:00"/>
    <s v="Rodney"/>
    <x v="6"/>
    <s v="Linea"/>
    <x v="5"/>
    <s v="NO APLICA"/>
    <s v="https://mirgor.sharepoint.com/sites/RODNEY/Shared%20Documents/RODNEY/GENERALES/MEJORA%20CONTINUA/18.%20BRAZOS%20PARA%20DOCUMENTACIÓN%20DE%20PUESTO"/>
    <m/>
    <s v="NO INICIADO"/>
    <s v="Gabriel Duran_x000a_Melany Bolivar_x000a_Luis Reyes"/>
    <s v="Matias Lousame"/>
    <x v="1"/>
    <m/>
    <m/>
    <m/>
    <m/>
  </r>
  <r>
    <n v="66"/>
    <d v="2026-11-30T00:00:00"/>
    <n v="2026"/>
    <x v="11"/>
    <n v="30"/>
    <s v="Mejorar tiempo operativo de medición de tiempos en unidades productivas"/>
    <s v="Adecuar soporte universal para MOWAS"/>
    <d v="2026-12-30T00:00:00"/>
    <s v="Rodney"/>
    <x v="5"/>
    <s v="Generales"/>
    <x v="1"/>
    <s v="NO APLICA"/>
    <s v="https://mirgor.sharepoint.com/sites/RODNEY/Shared%20Documents/RODNEY/GENERALES/MEJORA%20CONTINUA/15.%20MEJORA%20DE%20ESTUDIO%20DE%20TIEMPOS%20Y%20METODOS"/>
    <m/>
    <s v="NO INICIADO"/>
    <s v="Melany Bolivar_x000a_Matias Lousame"/>
    <s v="Matias Lousame"/>
    <x v="1"/>
    <m/>
    <m/>
    <m/>
    <m/>
  </r>
  <r>
    <n v="67"/>
    <d v="2026-11-30T00:00:00"/>
    <n v="2026"/>
    <x v="11"/>
    <n v="30"/>
    <s v="No existe una herramienta ni facilitador para colocar cinta a piso"/>
    <s v="Proyectar herramienta como prototipo de colocación de cinta_x000a_Armar herramienta de colocación de cinta"/>
    <d v="2026-12-30T00:00:00"/>
    <s v="Rodney"/>
    <x v="5"/>
    <s v="Generales"/>
    <x v="1"/>
    <s v="NO APLICA"/>
    <s v="https://mirgor.sharepoint.com/sites/RODNEY/Shared%20Documents/RODNEY/GENERALES/MEJORA%20CONTINUA/11.%20HERRAMIENTAS%20PARA%20COLOCACION%20DE%20CINTA%20A%20PISO"/>
    <m/>
    <s v="NO INICIADO"/>
    <s v="Matias Lousame_x000a_M.Bolivar"/>
    <s v="Pablo Amat"/>
    <x v="1"/>
    <m/>
    <m/>
    <m/>
    <m/>
  </r>
  <r>
    <n v="68"/>
    <d v="2026-11-30T00:00:00"/>
    <n v="2026"/>
    <x v="11"/>
    <n v="30"/>
    <s v="Optimizar espacios en nicho de consumibles (etiquetas, insumos, precintos, varios)"/>
    <s v="1. Relevar cantidad de insumos y en que medio vienen_x000a_2. Generar espacio proximo a puesto de preparación de pedidos para reorganizar insumos_x000a_3. Diseñar y solicitar a mantenimiento estructuras moviles para acopio de insumos en gavetas"/>
    <d v="2026-12-30T00:00:00"/>
    <s v="Rodney"/>
    <x v="2"/>
    <s v="Depósito"/>
    <x v="1"/>
    <s v="NO APLICA"/>
    <m/>
    <m/>
    <s v="NO INICIADO"/>
    <s v="Matias Pavon_x000a_Pablo Amat"/>
    <s v="Pablo Amat"/>
    <x v="1"/>
    <m/>
    <m/>
    <m/>
    <m/>
  </r>
  <r>
    <n v="69"/>
    <d v="2026-12-01T00:00:00"/>
    <n v="2026"/>
    <x v="11"/>
    <n v="31"/>
    <s v="El proceso de ingreso de bolsines no está estandarizado, presenta riesgos operativos"/>
    <s v="Mejorar ingreso de bolsines "/>
    <d v="2026-12-31T00:00:00"/>
    <s v="Rodney"/>
    <x v="6"/>
    <s v="Recepción"/>
    <x v="5"/>
    <s v="NO APLICA"/>
    <s v="https://mirgor.sharepoint.com/sites/RODNEY/Shared%20Documents/RODNEY/GENERALES/MEJORA%20CONTINUA/10.%20MEJORA%20DE%20INGRESO%20DE%20BOLSINES"/>
    <m/>
    <s v="NO INICIADO"/>
    <s v="Luis Reyes_x000a_Gabriel Duran_x000a_Melany Bolivar"/>
    <s v="Gabriel Duran"/>
    <x v="1"/>
    <m/>
    <m/>
    <m/>
    <m/>
  </r>
  <r>
    <n v="70"/>
    <d v="2026-12-01T00:00:00"/>
    <n v="2026"/>
    <x v="11"/>
    <n v="31"/>
    <s v="Reutilización de espacio actual de limpieza para deposito de archivos"/>
    <s v="1. Identificar puntos de operación de limpieza_x000a_2. Identificar stocks de limpieza_x000a_3. Reacondicionar baño piso 3_x000a_3.1. Retirar varios de baño para dejar acondicionado _x000a_3.2. Reubicar estanterias de espacio actual de limpieza (PB) en baño piso 3_x000a_3.3. Ver la posibilidad de reubicar aire de Seguridad en piso 3 y equipo Sanyo en Seguridad_x000a_4. Reacondicionar espacio de piso de PB para acopiar registros M. Pavón, Libreria, consumibles"/>
    <d v="2026-12-31T00:00:00"/>
    <s v="Rodney"/>
    <x v="5"/>
    <s v="Planta Baja_x000a_3er Piso"/>
    <x v="1"/>
    <s v="NO APLICA"/>
    <m/>
    <m/>
    <s v="NO INICIADO"/>
    <m/>
    <m/>
    <x v="1"/>
    <m/>
    <m/>
    <m/>
    <m/>
  </r>
  <r>
    <n v="71"/>
    <d v="2026-12-01T00:00:00"/>
    <n v="2026"/>
    <x v="11"/>
    <n v="31"/>
    <s v="El espacio de innecesarios tiene oportunidades de mejora para evitar riesgos "/>
    <s v="1. Relevar los materiales existentes en sector y clasificar necesidad_x000a_2. Solicitar estructuras a planta para poder organizar la zona de innecesarios_x000a_3. Realizar el diseño y rackeo posterior a piso informando a partes intervinientes"/>
    <d v="2026-12-31T00:00:00"/>
    <s v="Rodney"/>
    <x v="3"/>
    <s v="Subsuelo"/>
    <x v="3"/>
    <s v="NO APLICA"/>
    <m/>
    <m/>
    <s v="NO INICIADO"/>
    <s v="Pablo Amat_x000a_Matias Pavon_x000a_Luis Reyes"/>
    <s v="Melany Bolivar"/>
    <x v="1"/>
    <m/>
    <m/>
    <m/>
    <m/>
  </r>
  <r>
    <n v="72"/>
    <d v="2026-10-01T00:00:00"/>
    <n v="2026"/>
    <x v="9"/>
    <n v="30"/>
    <s v="Rediseño y armado de mesa de embalaje"/>
    <s v="1. Relevar necesidades operativas con proceso de embalaje_x000a_2. Armar mesa nueva de embalaje con consideraciones operativas, de seguridad y ergonomía_x000a_3. Armar hoja de proceso para documentar operación"/>
    <d v="2026-10-30T00:00:00"/>
    <s v="Rodney"/>
    <x v="7"/>
    <s v="Despacho"/>
    <x v="4"/>
    <s v="NO APLICA"/>
    <m/>
    <m/>
    <s v="NO INICIADO"/>
    <s v="Melany Bolivar_x000a_Luis Reyes_x000a_Leonel Segovia_x000a_Rocío Brizuela_x000a_Allegra Linares"/>
    <s v="Rocío Brizuela"/>
    <x v="1"/>
    <m/>
    <m/>
    <m/>
    <m/>
  </r>
  <r>
    <n v="73"/>
    <d v="2026-10-01T00:00:00"/>
    <n v="2026"/>
    <x v="9"/>
    <n v="30"/>
    <s v="Relayout de mesa de embalaje en piso 2, operación Ferbi-JBL, Sameday"/>
    <s v="1. Relevar necesidades operativas con flujos de materiales, productos_x000a_2. Relayout de despacho en piso 2:_x000a_2.1. Armar estructura para impresora e insumos_x000a_2.2. Corrimiento de pallet de cartones (descarte) _x000a_2.3. Corrimiento y posicionamiento de nueva embalaje"/>
    <d v="2026-10-30T00:00:00"/>
    <s v="Rodney"/>
    <x v="7"/>
    <s v="Despacho"/>
    <x v="4"/>
    <s v="NO APLICA"/>
    <m/>
    <m/>
    <s v="NO INICIADO"/>
    <s v="Melany Bolivar_x000a_Luis Reyes_x000a_Leonel Segovia_x000a_Pablo Amat_x000a_Ramiro Di Bernardo"/>
    <s v="Melany Bolivar"/>
    <x v="1"/>
    <m/>
    <m/>
    <m/>
    <m/>
  </r>
  <r>
    <n v="74"/>
    <m/>
    <n v="1900"/>
    <x v="12"/>
    <n v="0"/>
    <m/>
    <m/>
    <m/>
    <m/>
    <x v="8"/>
    <m/>
    <x v="6"/>
    <m/>
    <m/>
    <m/>
    <m/>
    <m/>
    <m/>
    <x v="2"/>
    <m/>
    <m/>
    <m/>
    <m/>
  </r>
  <r>
    <n v="75"/>
    <m/>
    <n v="1900"/>
    <x v="12"/>
    <n v="0"/>
    <m/>
    <m/>
    <m/>
    <m/>
    <x v="8"/>
    <m/>
    <x v="6"/>
    <m/>
    <m/>
    <m/>
    <m/>
    <m/>
    <m/>
    <x v="2"/>
    <m/>
    <m/>
    <m/>
    <m/>
  </r>
  <r>
    <n v="76"/>
    <m/>
    <n v="1900"/>
    <x v="12"/>
    <n v="0"/>
    <m/>
    <m/>
    <m/>
    <m/>
    <x v="8"/>
    <m/>
    <x v="6"/>
    <m/>
    <m/>
    <m/>
    <m/>
    <m/>
    <m/>
    <x v="2"/>
    <m/>
    <m/>
    <m/>
    <m/>
  </r>
  <r>
    <n v="77"/>
    <m/>
    <n v="1900"/>
    <x v="12"/>
    <n v="0"/>
    <m/>
    <m/>
    <m/>
    <m/>
    <x v="8"/>
    <m/>
    <x v="6"/>
    <m/>
    <m/>
    <m/>
    <m/>
    <m/>
    <m/>
    <x v="2"/>
    <m/>
    <m/>
    <m/>
    <m/>
  </r>
  <r>
    <n v="78"/>
    <m/>
    <n v="1900"/>
    <x v="12"/>
    <n v="0"/>
    <m/>
    <m/>
    <m/>
    <m/>
    <x v="8"/>
    <m/>
    <x v="6"/>
    <m/>
    <m/>
    <m/>
    <m/>
    <m/>
    <m/>
    <x v="2"/>
    <m/>
    <m/>
    <m/>
    <m/>
  </r>
  <r>
    <n v="79"/>
    <m/>
    <n v="1900"/>
    <x v="12"/>
    <n v="0"/>
    <m/>
    <m/>
    <m/>
    <m/>
    <x v="8"/>
    <m/>
    <x v="6"/>
    <m/>
    <m/>
    <m/>
    <m/>
    <m/>
    <m/>
    <x v="2"/>
    <m/>
    <m/>
    <m/>
    <m/>
  </r>
  <r>
    <n v="80"/>
    <m/>
    <n v="1900"/>
    <x v="12"/>
    <n v="0"/>
    <m/>
    <m/>
    <m/>
    <m/>
    <x v="8"/>
    <m/>
    <x v="6"/>
    <m/>
    <m/>
    <m/>
    <m/>
    <m/>
    <m/>
    <x v="2"/>
    <m/>
    <m/>
    <m/>
    <m/>
  </r>
  <r>
    <n v="81"/>
    <m/>
    <n v="1900"/>
    <x v="12"/>
    <n v="0"/>
    <m/>
    <m/>
    <m/>
    <m/>
    <x v="8"/>
    <m/>
    <x v="6"/>
    <m/>
    <m/>
    <m/>
    <m/>
    <m/>
    <m/>
    <x v="2"/>
    <m/>
    <m/>
    <m/>
    <m/>
  </r>
  <r>
    <n v="82"/>
    <m/>
    <n v="1900"/>
    <x v="12"/>
    <n v="0"/>
    <m/>
    <m/>
    <m/>
    <m/>
    <x v="8"/>
    <m/>
    <x v="6"/>
    <m/>
    <m/>
    <m/>
    <m/>
    <m/>
    <m/>
    <x v="2"/>
    <m/>
    <m/>
    <m/>
    <m/>
  </r>
  <r>
    <n v="83"/>
    <m/>
    <n v="1900"/>
    <x v="12"/>
    <n v="0"/>
    <m/>
    <m/>
    <m/>
    <m/>
    <x v="8"/>
    <m/>
    <x v="6"/>
    <m/>
    <m/>
    <m/>
    <m/>
    <m/>
    <m/>
    <x v="2"/>
    <m/>
    <m/>
    <m/>
    <m/>
  </r>
  <r>
    <n v="84"/>
    <m/>
    <n v="1900"/>
    <x v="12"/>
    <n v="0"/>
    <m/>
    <m/>
    <m/>
    <m/>
    <x v="8"/>
    <m/>
    <x v="6"/>
    <m/>
    <m/>
    <m/>
    <m/>
    <m/>
    <m/>
    <x v="2"/>
    <m/>
    <m/>
    <m/>
    <m/>
  </r>
  <r>
    <n v="85"/>
    <m/>
    <n v="1900"/>
    <x v="12"/>
    <n v="0"/>
    <m/>
    <m/>
    <m/>
    <m/>
    <x v="8"/>
    <m/>
    <x v="6"/>
    <m/>
    <m/>
    <m/>
    <m/>
    <m/>
    <m/>
    <x v="2"/>
    <m/>
    <m/>
    <m/>
    <m/>
  </r>
  <r>
    <n v="86"/>
    <m/>
    <n v="1900"/>
    <x v="12"/>
    <n v="0"/>
    <m/>
    <m/>
    <m/>
    <m/>
    <x v="8"/>
    <m/>
    <x v="6"/>
    <m/>
    <m/>
    <m/>
    <m/>
    <m/>
    <m/>
    <x v="2"/>
    <m/>
    <m/>
    <m/>
    <m/>
  </r>
  <r>
    <n v="87"/>
    <m/>
    <n v="1900"/>
    <x v="12"/>
    <n v="0"/>
    <m/>
    <m/>
    <m/>
    <m/>
    <x v="8"/>
    <m/>
    <x v="6"/>
    <m/>
    <m/>
    <m/>
    <m/>
    <m/>
    <m/>
    <x v="2"/>
    <m/>
    <m/>
    <m/>
    <m/>
  </r>
  <r>
    <n v="88"/>
    <m/>
    <n v="1900"/>
    <x v="12"/>
    <n v="0"/>
    <m/>
    <m/>
    <m/>
    <m/>
    <x v="8"/>
    <m/>
    <x v="6"/>
    <m/>
    <m/>
    <m/>
    <m/>
    <m/>
    <m/>
    <x v="2"/>
    <m/>
    <m/>
    <m/>
    <m/>
  </r>
  <r>
    <n v="89"/>
    <m/>
    <n v="1900"/>
    <x v="12"/>
    <n v="0"/>
    <m/>
    <m/>
    <m/>
    <m/>
    <x v="8"/>
    <m/>
    <x v="6"/>
    <m/>
    <m/>
    <m/>
    <m/>
    <m/>
    <m/>
    <x v="2"/>
    <m/>
    <m/>
    <m/>
    <m/>
  </r>
  <r>
    <n v="90"/>
    <m/>
    <n v="1900"/>
    <x v="12"/>
    <n v="0"/>
    <m/>
    <m/>
    <m/>
    <m/>
    <x v="8"/>
    <m/>
    <x v="6"/>
    <m/>
    <m/>
    <m/>
    <m/>
    <m/>
    <m/>
    <x v="2"/>
    <m/>
    <m/>
    <m/>
    <m/>
  </r>
  <r>
    <n v="91"/>
    <m/>
    <n v="1900"/>
    <x v="12"/>
    <n v="0"/>
    <m/>
    <m/>
    <m/>
    <m/>
    <x v="8"/>
    <m/>
    <x v="6"/>
    <m/>
    <m/>
    <m/>
    <m/>
    <m/>
    <m/>
    <x v="2"/>
    <m/>
    <m/>
    <m/>
    <m/>
  </r>
  <r>
    <n v="92"/>
    <m/>
    <n v="1900"/>
    <x v="12"/>
    <n v="0"/>
    <m/>
    <m/>
    <m/>
    <m/>
    <x v="8"/>
    <m/>
    <x v="6"/>
    <m/>
    <m/>
    <m/>
    <m/>
    <m/>
    <m/>
    <x v="2"/>
    <m/>
    <m/>
    <m/>
    <m/>
  </r>
  <r>
    <n v="93"/>
    <m/>
    <n v="1900"/>
    <x v="12"/>
    <n v="0"/>
    <m/>
    <m/>
    <m/>
    <m/>
    <x v="8"/>
    <m/>
    <x v="6"/>
    <m/>
    <m/>
    <m/>
    <m/>
    <m/>
    <m/>
    <x v="2"/>
    <m/>
    <m/>
    <m/>
    <m/>
  </r>
  <r>
    <n v="94"/>
    <m/>
    <n v="1900"/>
    <x v="12"/>
    <n v="0"/>
    <m/>
    <m/>
    <m/>
    <m/>
    <x v="8"/>
    <m/>
    <x v="6"/>
    <m/>
    <m/>
    <m/>
    <m/>
    <m/>
    <m/>
    <x v="2"/>
    <m/>
    <m/>
    <m/>
    <m/>
  </r>
  <r>
    <n v="95"/>
    <m/>
    <n v="1900"/>
    <x v="12"/>
    <n v="0"/>
    <m/>
    <m/>
    <m/>
    <m/>
    <x v="8"/>
    <m/>
    <x v="6"/>
    <m/>
    <m/>
    <m/>
    <m/>
    <m/>
    <m/>
    <x v="2"/>
    <m/>
    <m/>
    <m/>
    <m/>
  </r>
  <r>
    <n v="96"/>
    <m/>
    <n v="1900"/>
    <x v="12"/>
    <n v="0"/>
    <m/>
    <m/>
    <m/>
    <m/>
    <x v="8"/>
    <m/>
    <x v="6"/>
    <m/>
    <m/>
    <m/>
    <m/>
    <m/>
    <m/>
    <x v="2"/>
    <m/>
    <m/>
    <m/>
    <m/>
  </r>
  <r>
    <n v="97"/>
    <m/>
    <n v="1900"/>
    <x v="12"/>
    <n v="0"/>
    <m/>
    <m/>
    <m/>
    <m/>
    <x v="8"/>
    <m/>
    <x v="6"/>
    <m/>
    <m/>
    <m/>
    <m/>
    <m/>
    <m/>
    <x v="2"/>
    <m/>
    <m/>
    <m/>
    <m/>
  </r>
  <r>
    <n v="98"/>
    <m/>
    <n v="1900"/>
    <x v="12"/>
    <n v="0"/>
    <m/>
    <m/>
    <m/>
    <m/>
    <x v="8"/>
    <m/>
    <x v="6"/>
    <m/>
    <m/>
    <m/>
    <m/>
    <m/>
    <m/>
    <x v="2"/>
    <m/>
    <m/>
    <m/>
    <m/>
  </r>
  <r>
    <n v="99"/>
    <m/>
    <n v="1900"/>
    <x v="12"/>
    <n v="0"/>
    <m/>
    <m/>
    <m/>
    <m/>
    <x v="8"/>
    <m/>
    <x v="6"/>
    <m/>
    <m/>
    <m/>
    <m/>
    <m/>
    <m/>
    <x v="2"/>
    <m/>
    <m/>
    <m/>
    <m/>
  </r>
  <r>
    <n v="100"/>
    <m/>
    <n v="1900"/>
    <x v="12"/>
    <n v="0"/>
    <m/>
    <m/>
    <m/>
    <m/>
    <x v="8"/>
    <m/>
    <x v="6"/>
    <m/>
    <m/>
    <m/>
    <m/>
    <m/>
    <m/>
    <x v="2"/>
    <m/>
    <m/>
    <m/>
    <m/>
  </r>
  <r>
    <n v="101"/>
    <m/>
    <n v="1900"/>
    <x v="12"/>
    <n v="0"/>
    <m/>
    <m/>
    <m/>
    <m/>
    <x v="8"/>
    <m/>
    <x v="6"/>
    <m/>
    <m/>
    <m/>
    <m/>
    <m/>
    <m/>
    <x v="2"/>
    <m/>
    <m/>
    <m/>
    <m/>
  </r>
  <r>
    <n v="102"/>
    <m/>
    <n v="1900"/>
    <x v="12"/>
    <n v="0"/>
    <m/>
    <m/>
    <m/>
    <m/>
    <x v="8"/>
    <m/>
    <x v="6"/>
    <m/>
    <m/>
    <m/>
    <m/>
    <m/>
    <m/>
    <x v="2"/>
    <m/>
    <m/>
    <m/>
    <m/>
  </r>
  <r>
    <n v="103"/>
    <m/>
    <n v="1900"/>
    <x v="12"/>
    <n v="0"/>
    <m/>
    <m/>
    <m/>
    <m/>
    <x v="8"/>
    <m/>
    <x v="6"/>
    <m/>
    <m/>
    <m/>
    <m/>
    <m/>
    <m/>
    <x v="2"/>
    <m/>
    <m/>
    <m/>
    <m/>
  </r>
  <r>
    <n v="104"/>
    <m/>
    <n v="1900"/>
    <x v="12"/>
    <n v="0"/>
    <m/>
    <m/>
    <m/>
    <m/>
    <x v="8"/>
    <m/>
    <x v="6"/>
    <m/>
    <m/>
    <m/>
    <m/>
    <m/>
    <m/>
    <x v="2"/>
    <m/>
    <m/>
    <m/>
    <m/>
  </r>
  <r>
    <n v="105"/>
    <m/>
    <n v="1900"/>
    <x v="12"/>
    <n v="0"/>
    <m/>
    <m/>
    <m/>
    <m/>
    <x v="8"/>
    <m/>
    <x v="6"/>
    <m/>
    <m/>
    <m/>
    <m/>
    <m/>
    <m/>
    <x v="2"/>
    <m/>
    <m/>
    <m/>
    <m/>
  </r>
  <r>
    <n v="106"/>
    <m/>
    <n v="1900"/>
    <x v="12"/>
    <n v="0"/>
    <m/>
    <m/>
    <m/>
    <m/>
    <x v="8"/>
    <m/>
    <x v="6"/>
    <m/>
    <m/>
    <m/>
    <m/>
    <m/>
    <m/>
    <x v="2"/>
    <m/>
    <m/>
    <m/>
    <m/>
  </r>
  <r>
    <n v="107"/>
    <m/>
    <n v="1900"/>
    <x v="12"/>
    <n v="0"/>
    <m/>
    <m/>
    <m/>
    <m/>
    <x v="8"/>
    <m/>
    <x v="6"/>
    <m/>
    <m/>
    <m/>
    <m/>
    <m/>
    <m/>
    <x v="2"/>
    <m/>
    <m/>
    <m/>
    <m/>
  </r>
  <r>
    <n v="108"/>
    <m/>
    <n v="1900"/>
    <x v="12"/>
    <n v="0"/>
    <m/>
    <m/>
    <m/>
    <m/>
    <x v="8"/>
    <m/>
    <x v="6"/>
    <m/>
    <m/>
    <m/>
    <m/>
    <m/>
    <m/>
    <x v="2"/>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DD1884-8575-417E-94B8-5065C56CFDB5}" name="TablaDinámica4" cacheId="235" applyNumberFormats="0" applyBorderFormats="0" applyFontFormats="0" applyPatternFormats="0" applyAlignmentFormats="0" applyWidthHeightFormats="1" dataCaption="Valores" updatedVersion="8" minRefreshableVersion="3" useAutoFormatting="1" rowGrandTotals="0" colGrandTotals="0" itemPrintTitles="1" createdVersion="8" indent="0" outline="1" outlineData="1" multipleFieldFilters="0" chartFormat="21">
  <location ref="A15:B22" firstHeaderRow="1" firstDataRow="2" firstDataCol="1"/>
  <pivotFields count="24">
    <pivotField showAll="0"/>
    <pivotField showAll="0"/>
    <pivotField showAll="0"/>
    <pivotField showAll="0"/>
    <pivotField showAll="0"/>
    <pivotField showAll="0"/>
    <pivotField showAll="0"/>
    <pivotField showAll="0"/>
    <pivotField showAll="0"/>
    <pivotField showAll="0">
      <items count="12">
        <item x="5"/>
        <item x="6"/>
        <item m="1" x="9"/>
        <item x="2"/>
        <item m="1" x="10"/>
        <item x="1"/>
        <item x="0"/>
        <item x="3"/>
        <item x="4"/>
        <item x="7"/>
        <item x="8"/>
        <item t="default"/>
      </items>
    </pivotField>
    <pivotField showAll="0"/>
    <pivotField axis="axisRow" showAll="0">
      <items count="8">
        <item x="0"/>
        <item x="1"/>
        <item x="3"/>
        <item x="5"/>
        <item x="2"/>
        <item h="1" x="6"/>
        <item x="4"/>
        <item t="default"/>
      </items>
    </pivotField>
    <pivotField showAll="0"/>
    <pivotField showAll="0"/>
    <pivotField showAll="0"/>
    <pivotField showAll="0"/>
    <pivotField showAll="0"/>
    <pivotField showAll="0"/>
    <pivotField axis="axisCol" dataField="1" showAll="0">
      <items count="5">
        <item h="1" m="1" x="3"/>
        <item x="0"/>
        <item h="1" x="1"/>
        <item h="1" x="2"/>
        <item t="default"/>
      </items>
    </pivotField>
    <pivotField showAll="0"/>
    <pivotField showAll="0"/>
    <pivotField showAll="0"/>
    <pivotField showAll="0"/>
    <pivotField dragToRow="0" dragToCol="0" dragToPage="0" showAll="0" defaultSubtotal="0"/>
  </pivotFields>
  <rowFields count="1">
    <field x="11"/>
  </rowFields>
  <rowItems count="6">
    <i>
      <x/>
    </i>
    <i>
      <x v="1"/>
    </i>
    <i>
      <x v="2"/>
    </i>
    <i>
      <x v="3"/>
    </i>
    <i>
      <x v="4"/>
    </i>
    <i>
      <x v="6"/>
    </i>
  </rowItems>
  <colFields count="1">
    <field x="18"/>
  </colFields>
  <colItems count="1">
    <i>
      <x v="1"/>
    </i>
  </colItems>
  <dataFields count="1">
    <dataField name="Cuenta de STATUS" fld="18" subtotal="count" baseField="0" baseItem="0"/>
  </dataFields>
  <chartFormats count="16">
    <chartFormat chart="6" format="9" series="1">
      <pivotArea type="data" outline="0" fieldPosition="0">
        <references count="1">
          <reference field="4294967294" count="1" selected="0">
            <x v="0"/>
          </reference>
        </references>
      </pivotArea>
    </chartFormat>
    <chartFormat chart="13" format="0" series="1">
      <pivotArea type="data" outline="0" fieldPosition="0">
        <references count="1">
          <reference field="4294967294" count="1" selected="0">
            <x v="0"/>
          </reference>
        </references>
      </pivotArea>
    </chartFormat>
    <chartFormat chart="19" format="7" series="1">
      <pivotArea type="data" outline="0" fieldPosition="0">
        <references count="1">
          <reference field="4294967294" count="1" selected="0">
            <x v="0"/>
          </reference>
        </references>
      </pivotArea>
    </chartFormat>
    <chartFormat chart="19" format="8">
      <pivotArea type="data" outline="0" fieldPosition="0">
        <references count="2">
          <reference field="4294967294" count="1" selected="0">
            <x v="0"/>
          </reference>
          <reference field="11" count="1" selected="0">
            <x v="0"/>
          </reference>
        </references>
      </pivotArea>
    </chartFormat>
    <chartFormat chart="19" format="9">
      <pivotArea type="data" outline="0" fieldPosition="0">
        <references count="2">
          <reference field="4294967294" count="1" selected="0">
            <x v="0"/>
          </reference>
          <reference field="11" count="1" selected="0">
            <x v="1"/>
          </reference>
        </references>
      </pivotArea>
    </chartFormat>
    <chartFormat chart="19" format="10">
      <pivotArea type="data" outline="0" fieldPosition="0">
        <references count="2">
          <reference field="4294967294" count="1" selected="0">
            <x v="0"/>
          </reference>
          <reference field="11" count="1" selected="0">
            <x v="2"/>
          </reference>
        </references>
      </pivotArea>
    </chartFormat>
    <chartFormat chart="19" format="11">
      <pivotArea type="data" outline="0" fieldPosition="0">
        <references count="2">
          <reference field="4294967294" count="1" selected="0">
            <x v="0"/>
          </reference>
          <reference field="11" count="1" selected="0">
            <x v="3"/>
          </reference>
        </references>
      </pivotArea>
    </chartFormat>
    <chartFormat chart="19" format="12">
      <pivotArea type="data" outline="0" fieldPosition="0">
        <references count="2">
          <reference field="4294967294" count="1" selected="0">
            <x v="0"/>
          </reference>
          <reference field="11" count="1" selected="0">
            <x v="4"/>
          </reference>
        </references>
      </pivotArea>
    </chartFormat>
    <chartFormat chart="19" format="13">
      <pivotArea type="data" outline="0" fieldPosition="0">
        <references count="2">
          <reference field="4294967294" count="1" selected="0">
            <x v="0"/>
          </reference>
          <reference field="11" count="1" selected="0">
            <x v="6"/>
          </reference>
        </references>
      </pivotArea>
    </chartFormat>
    <chartFormat chart="20" format="14" series="1">
      <pivotArea type="data" outline="0" fieldPosition="0">
        <references count="1">
          <reference field="4294967294" count="1" selected="0">
            <x v="0"/>
          </reference>
        </references>
      </pivotArea>
    </chartFormat>
    <chartFormat chart="20" format="15">
      <pivotArea type="data" outline="0" fieldPosition="0">
        <references count="2">
          <reference field="4294967294" count="1" selected="0">
            <x v="0"/>
          </reference>
          <reference field="11" count="1" selected="0">
            <x v="0"/>
          </reference>
        </references>
      </pivotArea>
    </chartFormat>
    <chartFormat chart="20" format="16">
      <pivotArea type="data" outline="0" fieldPosition="0">
        <references count="2">
          <reference field="4294967294" count="1" selected="0">
            <x v="0"/>
          </reference>
          <reference field="11" count="1" selected="0">
            <x v="1"/>
          </reference>
        </references>
      </pivotArea>
    </chartFormat>
    <chartFormat chart="20" format="17">
      <pivotArea type="data" outline="0" fieldPosition="0">
        <references count="2">
          <reference field="4294967294" count="1" selected="0">
            <x v="0"/>
          </reference>
          <reference field="11" count="1" selected="0">
            <x v="2"/>
          </reference>
        </references>
      </pivotArea>
    </chartFormat>
    <chartFormat chart="20" format="18">
      <pivotArea type="data" outline="0" fieldPosition="0">
        <references count="2">
          <reference field="4294967294" count="1" selected="0">
            <x v="0"/>
          </reference>
          <reference field="11" count="1" selected="0">
            <x v="3"/>
          </reference>
        </references>
      </pivotArea>
    </chartFormat>
    <chartFormat chart="20" format="19">
      <pivotArea type="data" outline="0" fieldPosition="0">
        <references count="2">
          <reference field="4294967294" count="1" selected="0">
            <x v="0"/>
          </reference>
          <reference field="11" count="1" selected="0">
            <x v="4"/>
          </reference>
        </references>
      </pivotArea>
    </chartFormat>
    <chartFormat chart="20" format="20">
      <pivotArea type="data" outline="0" fieldPosition="0">
        <references count="2">
          <reference field="4294967294" count="1" selected="0">
            <x v="0"/>
          </reference>
          <reference field="11"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09F66F8-3B23-4D18-BC61-1C6C03E2D696}" name="TablaDinámica2" cacheId="235" applyNumberFormats="0" applyBorderFormats="0" applyFontFormats="0" applyPatternFormats="0" applyAlignmentFormats="0" applyWidthHeightFormats="1" dataCaption="Valores" updatedVersion="8" minRefreshableVersion="3" useAutoFormatting="1" rowGrandTotals="0" itemPrintTitles="1" createdVersion="8" indent="0" outline="1" outlineData="1" multipleFieldFilters="0" chartFormat="9">
  <location ref="A33:C34" firstHeaderRow="0" firstDataRow="1" firstDataCol="1"/>
  <pivotFields count="24">
    <pivotField showAll="0"/>
    <pivotField showAll="0"/>
    <pivotField showAll="0"/>
    <pivotField axis="axisRow" showAll="0">
      <items count="14">
        <item h="1" x="0"/>
        <item h="1" x="1"/>
        <item x="2"/>
        <item h="1" x="3"/>
        <item h="1" x="4"/>
        <item h="1" x="5"/>
        <item h="1" x="6"/>
        <item h="1" x="7"/>
        <item h="1" x="8"/>
        <item h="1" x="9"/>
        <item h="1" x="10"/>
        <item h="1" x="11"/>
        <item h="1" x="12"/>
        <item t="default"/>
      </items>
    </pivotField>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dragToRow="0" dragToCol="0" dragToPage="0" showAll="0" defaultSubtotal="0"/>
  </pivotFields>
  <rowFields count="1">
    <field x="3"/>
  </rowFields>
  <rowItems count="1">
    <i>
      <x v="2"/>
    </i>
  </rowItems>
  <colFields count="1">
    <field x="-2"/>
  </colFields>
  <colItems count="2">
    <i>
      <x/>
    </i>
    <i i="1">
      <x v="1"/>
    </i>
  </colItems>
  <dataFields count="2">
    <dataField name="Tgt" fld="23" baseField="0" baseItem="0"/>
    <dataField name="Curr" fld="9" subtotal="count" baseField="0" baseItem="0"/>
  </dataFields>
  <chartFormats count="6">
    <chartFormat chart="3" format="4" series="1">
      <pivotArea type="data" outline="0" fieldPosition="0">
        <references count="1">
          <reference field="4294967294" count="1" selected="0">
            <x v="1"/>
          </reference>
        </references>
      </pivotArea>
    </chartFormat>
    <chartFormat chart="3" format="5" series="1">
      <pivotArea type="data" outline="0" fieldPosition="0">
        <references count="1">
          <reference field="4294967294" count="1" selected="0">
            <x v="0"/>
          </reference>
        </references>
      </pivotArea>
    </chartFormat>
    <chartFormat chart="7" format="8" series="1">
      <pivotArea type="data" outline="0" fieldPosition="0">
        <references count="1">
          <reference field="4294967294" count="1" selected="0">
            <x v="0"/>
          </reference>
        </references>
      </pivotArea>
    </chartFormat>
    <chartFormat chart="7" format="9" series="1">
      <pivotArea type="data" outline="0" fieldPosition="0">
        <references count="1">
          <reference field="4294967294" count="1" selected="0">
            <x v="1"/>
          </reference>
        </references>
      </pivotArea>
    </chartFormat>
    <chartFormat chart="8" format="10" series="1">
      <pivotArea type="data" outline="0" fieldPosition="0">
        <references count="1">
          <reference field="4294967294" count="1" selected="0">
            <x v="0"/>
          </reference>
        </references>
      </pivotArea>
    </chartFormat>
    <chartFormat chart="8" format="1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D7EE24B-67C0-495B-BE8C-10B0CF908D79}" name="TablaDinámica1" cacheId="235" applyNumberFormats="0" applyBorderFormats="0" applyFontFormats="0" applyPatternFormats="0" applyAlignmentFormats="0" applyWidthHeightFormats="1" dataCaption="Valores" updatedVersion="8" minRefreshableVersion="3" useAutoFormatting="1" rowGrandTotals="0" itemPrintTitles="1" createdVersion="8" indent="0" outline="1" outlineData="1" multipleFieldFilters="0" chartFormat="14">
  <location ref="A3:B5" firstHeaderRow="1" firstDataRow="1" firstDataCol="1"/>
  <pivotFields count="24">
    <pivotField showAll="0"/>
    <pivotField showAll="0"/>
    <pivotField showAll="0"/>
    <pivotField showAll="0"/>
    <pivotField showAll="0"/>
    <pivotField showAll="0"/>
    <pivotField showAll="0"/>
    <pivotField showAll="0"/>
    <pivotField showAll="0"/>
    <pivotField showAll="0">
      <items count="12">
        <item x="5"/>
        <item x="6"/>
        <item m="1" x="9"/>
        <item x="2"/>
        <item m="1" x="10"/>
        <item x="1"/>
        <item x="0"/>
        <item x="3"/>
        <item x="4"/>
        <item x="7"/>
        <item x="8"/>
        <item t="default"/>
      </items>
    </pivotField>
    <pivotField showAll="0"/>
    <pivotField showAll="0"/>
    <pivotField showAll="0"/>
    <pivotField showAll="0"/>
    <pivotField showAll="0"/>
    <pivotField showAll="0"/>
    <pivotField showAll="0"/>
    <pivotField showAll="0"/>
    <pivotField axis="axisRow" dataField="1" showAll="0">
      <items count="5">
        <item x="0"/>
        <item m="1" x="3"/>
        <item x="1"/>
        <item h="1" x="2"/>
        <item t="default"/>
      </items>
    </pivotField>
    <pivotField showAll="0"/>
    <pivotField showAll="0"/>
    <pivotField showAll="0"/>
    <pivotField showAll="0"/>
    <pivotField dragToRow="0" dragToCol="0" dragToPage="0" showAll="0" defaultSubtotal="0"/>
  </pivotFields>
  <rowFields count="1">
    <field x="18"/>
  </rowFields>
  <rowItems count="2">
    <i>
      <x/>
    </i>
    <i>
      <x v="2"/>
    </i>
  </rowItems>
  <colItems count="1">
    <i/>
  </colItems>
  <dataFields count="1">
    <dataField name="Cuenta de STATUS" fld="18" subtotal="count" baseField="0" baseItem="0"/>
  </dataFields>
  <chartFormats count="4">
    <chartFormat chart="6" format="14" series="1">
      <pivotArea type="data" outline="0" fieldPosition="0">
        <references count="1">
          <reference field="4294967294" count="1" selected="0">
            <x v="0"/>
          </reference>
        </references>
      </pivotArea>
    </chartFormat>
    <chartFormat chart="6" format="15">
      <pivotArea type="data" outline="0" fieldPosition="0">
        <references count="2">
          <reference field="4294967294" count="1" selected="0">
            <x v="0"/>
          </reference>
          <reference field="18" count="1" selected="0">
            <x v="0"/>
          </reference>
        </references>
      </pivotArea>
    </chartFormat>
    <chartFormat chart="6" format="16">
      <pivotArea type="data" outline="0" fieldPosition="0">
        <references count="2">
          <reference field="4294967294" count="1" selected="0">
            <x v="0"/>
          </reference>
          <reference field="18" count="1" selected="0">
            <x v="1"/>
          </reference>
        </references>
      </pivotArea>
    </chartFormat>
    <chartFormat chart="6" format="17">
      <pivotArea type="data" outline="0" fieldPosition="0">
        <references count="2">
          <reference field="4294967294" count="1" selected="0">
            <x v="0"/>
          </reference>
          <reference field="18"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 xr10:uid="{1AF62846-0053-49D2-9002-52EFA41D1603}" sourceName="MES">
  <pivotTables>
    <pivotTable tabId="13" name="TablaDinámica2"/>
  </pivotTables>
  <data>
    <tabular pivotCacheId="1380307984">
      <items count="13">
        <i x="0"/>
        <i x="1"/>
        <i x="2" s="1"/>
        <i x="3"/>
        <i x="4"/>
        <i x="5"/>
        <i x="6"/>
        <i x="7"/>
        <i x="8"/>
        <i x="9"/>
        <i x="10"/>
        <i x="11"/>
        <i x="12"/>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UNIDAD" xr10:uid="{4FB68840-6B58-451D-841C-272D7A78803F}" sourceName="UNIDAD">
  <pivotTables>
    <pivotTable tabId="13" name="TablaDinámica1"/>
    <pivotTable tabId="13" name="TablaDinámica4"/>
  </pivotTables>
  <data>
    <tabular pivotCacheId="1380307984">
      <items count="11">
        <i x="5" s="1"/>
        <i x="6" s="1"/>
        <i x="2" s="1"/>
        <i x="1" s="1"/>
        <i x="0" s="1"/>
        <i x="3" s="1"/>
        <i x="4" s="1"/>
        <i x="7" s="1"/>
        <i x="9" s="1" nd="1"/>
        <i x="10" s="1" nd="1"/>
        <i x="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S" xr10:uid="{C6A06E4D-D25F-4F9A-BCFE-F7A19A50B7A8}" cache="SegmentaciónDeDatos_MES" caption="MES" style="SlicerStyleDark1" rowHeight="230716"/>
  <slicer name="UNIDAD" xr10:uid="{5DBB3A7A-5F1E-4A0C-9B71-24AF9259EDDE}" cache="SegmentaciónDeDatos_UNIDAD" caption="UNIDAD" columnCount="5" style="SlicerStyleDark1"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1AFA404-F26E-4C0F-83FB-D79BC4C1E779}" name="Table13" displayName="Table13" ref="A2:W110" totalsRowShown="0" headerRowDxfId="47" dataDxfId="45" headerRowBorderDxfId="46" tableBorderDxfId="44" totalsRowBorderDxfId="43">
  <autoFilter ref="A2:W110" xr:uid="{91AFA404-F26E-4C0F-83FB-D79BC4C1E779}"/>
  <sortState xmlns:xlrd2="http://schemas.microsoft.com/office/spreadsheetml/2017/richdata2" ref="A3:W110">
    <sortCondition ref="H2:H110"/>
  </sortState>
  <tableColumns count="23">
    <tableColumn id="7" xr3:uid="{1848B6A1-C5DD-400C-B8F7-78E347911B3D}" name="N°" dataDxfId="42"/>
    <tableColumn id="15" xr3:uid="{E32B57D1-A685-46B9-8A52-443B5A20121B}" name="FECHA RELEVO" dataDxfId="41" dataCellStyle="40% - Énfasis1"/>
    <tableColumn id="19" xr3:uid="{A9EE932D-3CD1-46A1-9AD2-D49581134D84}" name="AÑO" dataDxfId="40" dataCellStyle="40% - Énfasis1">
      <calculatedColumnFormula>IF(YEAR(Table13[[#This Row],[IMPLEMENTADO]])="","",YEAR(Table13[[#This Row],[IMPLEMENTADO]]))</calculatedColumnFormula>
    </tableColumn>
    <tableColumn id="18" xr3:uid="{3D165033-0209-46D8-9349-F85208D9A015}" name="MES" dataDxfId="39" dataCellStyle="40% - Énfasis1">
      <calculatedColumnFormula>IF(Table13[[#This Row],[IMPLEMENTADO]]="","",TEXT(Table13[[#This Row],[IMPLEMENTADO]],"Mmm"))</calculatedColumnFormula>
    </tableColumn>
    <tableColumn id="17" xr3:uid="{A3ECC5F7-1EDB-43A2-9135-8FD08EFD3343}" name="DIA" dataDxfId="38" dataCellStyle="40% - Énfasis1">
      <calculatedColumnFormula>DAY(Table13[[#This Row],[IMPLEMENTADO]])</calculatedColumnFormula>
    </tableColumn>
    <tableColumn id="1" xr3:uid="{F2C39162-CD3F-48E0-BDD3-D92D3042F7D7}" name="DESCRIPCIÓN DE MEJORAS" dataDxfId="37" dataCellStyle="40% - Énfasis1"/>
    <tableColumn id="8" xr3:uid="{698AF7A3-979C-4662-9FB9-7903A21BBA5D}" name="ACCIÓN" dataDxfId="36"/>
    <tableColumn id="6" xr3:uid="{42FAA20D-AAA6-414A-9C51-1BF5980B13F0}" name="IMPLEMENTADO" dataDxfId="35" dataCellStyle="40% - Énfasis1"/>
    <tableColumn id="3" xr3:uid="{55271B45-BB6A-433E-BFAA-0318917066DA}" name="SITIO" dataDxfId="34"/>
    <tableColumn id="11" xr3:uid="{A0B8274A-6A4C-438A-8DB5-32D5E6CC789B}" name="UNIDAD" dataDxfId="33"/>
    <tableColumn id="12" xr3:uid="{AA1AF1A6-98D7-4F1A-B711-1C4743D63B32}" name="PUESTO" dataDxfId="32"/>
    <tableColumn id="23" xr3:uid="{B5B63878-8A5F-4EB5-AE66-6758F649EAED}" name="ZONA" dataDxfId="31" dataCellStyle="40% - Énfasis1"/>
    <tableColumn id="10" xr3:uid="{FB9FB4F5-E7AF-4138-8509-DC755F69D11F}" name="KAIZEN" dataDxfId="30" dataCellStyle="40% - Énfasis1"/>
    <tableColumn id="14" xr3:uid="{46946F58-32B5-4ECA-BD92-8F6137CB76A1}" name="TEAMS" dataDxfId="29"/>
    <tableColumn id="16" xr3:uid="{50340F08-CB84-4884-A832-B65F6DC1A1DA}" name="ID IDOC" dataDxfId="28"/>
    <tableColumn id="4" xr3:uid="{B0D43731-CF66-46CA-946A-6AA958690414}" name="STATUS IDOC" dataDxfId="27"/>
    <tableColumn id="13" xr3:uid="{E2248E32-6952-4306-935D-DD94D7294CA1}" name="EQUIPO " dataDxfId="26"/>
    <tableColumn id="20" xr3:uid="{233463BC-8493-4855-9A21-A18C39BB60EE}" name="RESPONSABLE_x000a_CARGA IDOC" dataDxfId="25" dataCellStyle="40% - Énfasis1"/>
    <tableColumn id="5" xr3:uid="{BEE2F8E5-69D8-4597-8BFC-667775141CF2}" name="STATUS" dataDxfId="24"/>
    <tableColumn id="22" xr3:uid="{7E7BB0AF-CDAD-450F-801A-B61D8607E62F}" name="FECHA DE CIERRE" dataDxfId="23" dataCellStyle="40% - Énfasis1"/>
    <tableColumn id="2" xr3:uid="{557553CD-3523-4D79-B098-DDB286DA5074}" name="IMPACTO _x000a_ECONÓMICO" dataDxfId="22"/>
    <tableColumn id="21" xr3:uid="{7781498F-278F-48E8-9C43-6091C044B947}" name="AHORRO ECONÓMICO" dataDxfId="21"/>
    <tableColumn id="9" xr3:uid="{B25043CC-735B-4B10-B491-222DDEE1FDC7}" name="OBJ" dataDxfId="20"/>
  </tableColumns>
  <tableStyleInfo name="ToDoList"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2E46DD6-755B-4556-A279-AAE67CA3998D}" name="Table133" displayName="Table133" ref="A2:L110" totalsRowShown="0" headerRowDxfId="16" dataDxfId="14" headerRowBorderDxfId="15" tableBorderDxfId="13" totalsRowBorderDxfId="12">
  <autoFilter ref="A2:L110" xr:uid="{C2E46DD6-755B-4556-A279-AAE67CA3998D}"/>
  <tableColumns count="12">
    <tableColumn id="7" xr3:uid="{0BB38096-893A-424C-AE14-0F70644AF284}" name="N°" dataDxfId="11"/>
    <tableColumn id="15" xr3:uid="{711A3437-0B34-4FDD-814C-852BC4955CF4}" name="FECHA RELEVO" dataDxfId="10" dataCellStyle="40% - Énfasis1"/>
    <tableColumn id="19" xr3:uid="{09AA9197-BDF3-4988-8BA2-FF1B42D747D2}" name="AÑO" dataDxfId="9" dataCellStyle="40% - Énfasis1">
      <calculatedColumnFormula>IF(YEAR(Table133[[#This Row],[IMPLEMENTADO]])="","",YEAR(Table133[[#This Row],[IMPLEMENTADO]]))</calculatedColumnFormula>
    </tableColumn>
    <tableColumn id="18" xr3:uid="{127519CE-3B41-4E7C-8E57-8A82F1847A3D}" name="MES" dataDxfId="8" dataCellStyle="40% - Énfasis1">
      <calculatedColumnFormula>IF(Table133[[#This Row],[IMPLEMENTADO]]="","",TEXT(Table133[[#This Row],[IMPLEMENTADO]],"Mmm"))</calculatedColumnFormula>
    </tableColumn>
    <tableColumn id="17" xr3:uid="{42988854-7854-4DC9-B75D-E2671F032D5C}" name="DIA" dataDxfId="7" dataCellStyle="40% - Énfasis1">
      <calculatedColumnFormula>DAY(Table133[[#This Row],[IMPLEMENTADO]])</calculatedColumnFormula>
    </tableColumn>
    <tableColumn id="1" xr3:uid="{40D16E2C-370C-4901-B599-60C0F718C9BB}" name="DESCRIPCIÓN DE MEJORAS" dataDxfId="6" dataCellStyle="40% - Énfasis1"/>
    <tableColumn id="8" xr3:uid="{45DE8BB7-055A-48AB-8EBC-E3F6BC3A03F1}" name="ACCIÓN" dataDxfId="5"/>
    <tableColumn id="6" xr3:uid="{7DD51B04-9805-44D5-9394-467B448A8C3C}" name="IMPLEMENTADO" dataDxfId="4" dataCellStyle="40% - Énfasis1"/>
    <tableColumn id="3" xr3:uid="{E2566FEB-4845-43D4-AF1E-99AA9EF7656F}" name="SITIO" dataDxfId="3"/>
    <tableColumn id="11" xr3:uid="{46B44320-BAD2-44E6-ADE8-F58EDAC448A0}" name="UNIDAD" dataDxfId="2"/>
    <tableColumn id="12" xr3:uid="{7A11731D-CFE9-4E17-8610-BF5D50B700E7}" name="PUESTO" dataDxfId="1"/>
    <tableColumn id="5" xr3:uid="{044A6C1E-5A48-4C73-9AD6-6DA7EEC45D34}" name="STATUS" dataDxfId="0"/>
  </tableColumns>
  <tableStyleInfo name="ToDoList"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6FD06274-5335-484B-BD99-1BF1357991E7}">
  <we:reference id="wa200005502" version="1.0.0.11" store="es-ES" storeType="OMEX"/>
  <we:alternateReferences>
    <we:reference id="WA200005502" version="1.0.0.11" store="" storeType="OMEX"/>
  </we:alternateReferences>
  <we:properties>
    <we:property name="docId" value="&quot;JjYwaLr4G-J39CJ_QbFPX&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4.xml.rels><?xml version="1.0" encoding="UTF-8" standalone="yes"?>
<Relationships xmlns="http://schemas.openxmlformats.org/package/2006/relationships"><Relationship Id="rId13" Type="http://schemas.openxmlformats.org/officeDocument/2006/relationships/hyperlink" Target="3.%20ADECUACI&#211;N%20DE%20PICKING%20DE%20EQUIPOS%20MEDICOS" TargetMode="External"/><Relationship Id="rId18" Type="http://schemas.openxmlformats.org/officeDocument/2006/relationships/hyperlink" Target="21.%20REDUCCI&#211;N%20DE%20CONSUMO%20DE%20PAPEL" TargetMode="External"/><Relationship Id="rId26" Type="http://schemas.openxmlformats.org/officeDocument/2006/relationships/hyperlink" Target="30.%20CONSUMIBLES%202DO%20PISO" TargetMode="External"/><Relationship Id="rId39" Type="http://schemas.openxmlformats.org/officeDocument/2006/relationships/hyperlink" Target="../../../../../../:f:/s/RODNEY/IgDdf3Hvks7GSbIKDneNbSY6AQwmXbwnNUCy-tPnN2r99uc?e=nTGcdo" TargetMode="External"/><Relationship Id="rId21" Type="http://schemas.openxmlformats.org/officeDocument/2006/relationships/hyperlink" Target="26.%20ASEGURAMIENTO%20DE%20PRODUCTOS" TargetMode="External"/><Relationship Id="rId34" Type="http://schemas.openxmlformats.org/officeDocument/2006/relationships/hyperlink" Target="../../../../../../:f:/s/RODNEY/IgBGq72iKnFNRb_PUWW7QCLwASij005ao8LHiBV7OsrX-jw?e=kq7FDa" TargetMode="External"/><Relationship Id="rId42" Type="http://schemas.openxmlformats.org/officeDocument/2006/relationships/hyperlink" Target="https://mirgor.sharepoint.com/:x:/s/RODNEY/IQCvJiNT_fxMQYWUPOkGKK1tAad-KYvS4jeFBWEPSyVy6r8?e=FdNKXv" TargetMode="External"/><Relationship Id="rId47" Type="http://schemas.openxmlformats.org/officeDocument/2006/relationships/hyperlink" Target="../../../../../../:f:/s/RODNEY/IgCbWNqA_QYdSrNTK9Rjl_p_Addj3SjjxTRGb9PJJtHTbR8?e=IOM62P" TargetMode="External"/><Relationship Id="rId50" Type="http://schemas.openxmlformats.org/officeDocument/2006/relationships/hyperlink" Target="../../../../../../:f:/s/RODNEY/IgCm-3LjSpYFR7-ROBaPVFqQAa6incZFMGHHcNMLsK4sOOE?e=Y3Lo5a" TargetMode="External"/><Relationship Id="rId55" Type="http://schemas.microsoft.com/office/2019/04/relationships/namedSheetView" Target="../namedSheetViews/namedSheetView1.xml"/><Relationship Id="rId7" Type="http://schemas.openxmlformats.org/officeDocument/2006/relationships/hyperlink" Target="8.%20ADECUACION%20DE%20MANIPULACION%20DE%20TV" TargetMode="External"/><Relationship Id="rId2" Type="http://schemas.openxmlformats.org/officeDocument/2006/relationships/hyperlink" Target="2.%20ADECUACION%20ESTANDAR%20DE%20MESA%20DE%20TRABAJO" TargetMode="External"/><Relationship Id="rId16" Type="http://schemas.openxmlformats.org/officeDocument/2006/relationships/hyperlink" Target="18.%20BRAZOS%20PARA%20DOCUMENTACI&#211;N%20DE%20PUESTO" TargetMode="External"/><Relationship Id="rId29" Type="http://schemas.openxmlformats.org/officeDocument/2006/relationships/hyperlink" Target="../../../../../../:f:/s/RODNEY/IgBkRD_NiBQSSrz4bYWFlWF6AUtAdh6xzzMAPOqOBWEMT1I?e=GliQsm" TargetMode="External"/><Relationship Id="rId11" Type="http://schemas.openxmlformats.org/officeDocument/2006/relationships/hyperlink" Target="13.%20IMPLEMENTACION%20FISICA%20DE%20PA&#209;OL%20DE%20MANTENIMIENTO%20EN%20SUBSUELO" TargetMode="External"/><Relationship Id="rId24" Type="http://schemas.openxmlformats.org/officeDocument/2006/relationships/hyperlink" Target="29.%20ENZUNCHADO%20DE%20PALLET%20DE%20TV" TargetMode="External"/><Relationship Id="rId32" Type="http://schemas.openxmlformats.org/officeDocument/2006/relationships/hyperlink" Target="../../../../../../:f:/s/RODNEY/IgBKf12dEQzAQ40A8yso-t5IAQASHxioL_XHBobWH64Jo0M?e=JR1gIM" TargetMode="External"/><Relationship Id="rId37" Type="http://schemas.openxmlformats.org/officeDocument/2006/relationships/hyperlink" Target="../../../../../../:f:/s/RODNEY/IgDdf3Hvks7GSbIKDneNbSY6AQwmXbwnNUCy-tPnN2r99uc?e=nTGcdo" TargetMode="External"/><Relationship Id="rId40" Type="http://schemas.openxmlformats.org/officeDocument/2006/relationships/hyperlink" Target="../../../../../../:f:/s/RODNEY/IgBOu1Ibo_x3RLFEydzggFTnAWivpsiFyRr_LaeBNaSrsbE?e=Wianx9" TargetMode="External"/><Relationship Id="rId45" Type="http://schemas.openxmlformats.org/officeDocument/2006/relationships/hyperlink" Target="../../../../../../:f:/s/RODNEY/IgC402LyWvHYSpUvpxtnxg_nAUG-Pl6l2u6bOLeRilRPBcw?e=NbTWkr" TargetMode="External"/><Relationship Id="rId53" Type="http://schemas.openxmlformats.org/officeDocument/2006/relationships/drawing" Target="../drawings/drawing1.xml"/><Relationship Id="rId5" Type="http://schemas.openxmlformats.org/officeDocument/2006/relationships/hyperlink" Target="6.%20IMPLEMENTACION%20DE%20ESTACION%20DE%20CARGA%20DE%20BATERIA" TargetMode="External"/><Relationship Id="rId10" Type="http://schemas.openxmlformats.org/officeDocument/2006/relationships/hyperlink" Target="11.%20HERRAMIENTAS%20PARA%20COLOCACION%20DE%20CINTA%20A%20PISO" TargetMode="External"/><Relationship Id="rId19" Type="http://schemas.openxmlformats.org/officeDocument/2006/relationships/hyperlink" Target="../../../../../../:f:/s/RODNEY/IgDGtBiKiClfQZD0aE3q-u1fAfSfPRYbf_1zUO94l2iGzDg?e=fqKIzT" TargetMode="External"/><Relationship Id="rId31" Type="http://schemas.openxmlformats.org/officeDocument/2006/relationships/hyperlink" Target="../../../../../../:f:/s/RODNEY/IgA18dZvKcfsQ5_mvy52RU3OAeaySGNImDx2yLBNiT6wHLY?e=7z5Yms" TargetMode="External"/><Relationship Id="rId44" Type="http://schemas.openxmlformats.org/officeDocument/2006/relationships/hyperlink" Target="../../../../../../:f:/s/RODNEY/IgASKwkba3Y_Q4jPEaeJ1OyvAbzHNs-b_YJmpwwKjk5VneQ?e=xVTajR" TargetMode="External"/><Relationship Id="rId52" Type="http://schemas.openxmlformats.org/officeDocument/2006/relationships/printerSettings" Target="../printerSettings/printerSettings1.bin"/><Relationship Id="rId4" Type="http://schemas.openxmlformats.org/officeDocument/2006/relationships/hyperlink" Target="5.%20REGISTRO%20OPTIMIZADO%20DE%20LIBERACI&#211;N%20DE%20EC&#211;GRAFOS" TargetMode="External"/><Relationship Id="rId9" Type="http://schemas.openxmlformats.org/officeDocument/2006/relationships/hyperlink" Target="10.%20MEJORA%20DE%20INGRESO%20DE%20BOLSINES" TargetMode="External"/><Relationship Id="rId14" Type="http://schemas.openxmlformats.org/officeDocument/2006/relationships/hyperlink" Target="15.%20MEJORA%20DE%20ESTUDIO%20DE%20TIEMPOS%20Y%20METODOS" TargetMode="External"/><Relationship Id="rId22" Type="http://schemas.openxmlformats.org/officeDocument/2006/relationships/hyperlink" Target="27.%20ENVOLVEDORA%20MANUAL%20DE%20PALLETS" TargetMode="External"/><Relationship Id="rId27" Type="http://schemas.openxmlformats.org/officeDocument/2006/relationships/hyperlink" Target="../../../../../../:f:/s/RODNEY/IgB4fPbrGHrdQ5bonOqjwXTXASecyUWXGRiQoo1szQvFBys?e=IcnYOG" TargetMode="External"/><Relationship Id="rId30" Type="http://schemas.openxmlformats.org/officeDocument/2006/relationships/hyperlink" Target="../../../../../../:f:/s/RODNEY/IgDUJrPTKYYTRZEM2GSgKuuuAdlHSPw91be-84Vc0fS9ZJo?e=3Shccd" TargetMode="External"/><Relationship Id="rId35" Type="http://schemas.openxmlformats.org/officeDocument/2006/relationships/hyperlink" Target="43.%20MEJORA%20DE%20LLAVES%20-%20SECTOR%20SEGURIDAD" TargetMode="External"/><Relationship Id="rId43" Type="http://schemas.openxmlformats.org/officeDocument/2006/relationships/hyperlink" Target="https://mirgor.sharepoint.com/:x:/s/RODNEY/IQAiF3OYIOVvTovnBaJGWVhbARR7O-oejfr19NzjrPfRA_U?e=X6WgMp" TargetMode="External"/><Relationship Id="rId48" Type="http://schemas.openxmlformats.org/officeDocument/2006/relationships/hyperlink" Target="../../../../../../:f:/s/RODNEY/IgBAY_t8FYlYQIT0XFkIytPJAboelFgZssH9PqgPZaXLfBg?e=lEga4a" TargetMode="External"/><Relationship Id="rId8" Type="http://schemas.openxmlformats.org/officeDocument/2006/relationships/hyperlink" Target="9.%20OPTIMIZACION%20DE%20GESTION%20DE%20REPUESTOS" TargetMode="External"/><Relationship Id="rId51" Type="http://schemas.openxmlformats.org/officeDocument/2006/relationships/hyperlink" Target="../../../../../../:f:/s/RODNEY/IgD9Z0PvHo20SKyB90x8s-TvAY5xs9yHbDruAFVzHe1pbM4?e=sbzVkV" TargetMode="External"/><Relationship Id="rId3" Type="http://schemas.openxmlformats.org/officeDocument/2006/relationships/hyperlink" Target="4.%20OPTIMIZACION%20DE%20PUESTO%20DE%20ROTURA%20DE%20PANTALLA" TargetMode="External"/><Relationship Id="rId12" Type="http://schemas.openxmlformats.org/officeDocument/2006/relationships/hyperlink" Target="13.%20IMPLEMENTACION%20FISICA%20DE%20PA&#209;OL%20DE%20MANTENIMIENTO%20EN%20SUBSUELO" TargetMode="External"/><Relationship Id="rId17" Type="http://schemas.openxmlformats.org/officeDocument/2006/relationships/hyperlink" Target="20.%20IMPLEMENTACION%20DE%20BUZON%20DE%20MEJORA%20Y%20TV" TargetMode="External"/><Relationship Id="rId25" Type="http://schemas.openxmlformats.org/officeDocument/2006/relationships/hyperlink" Target="28.%20BOLSINES%20DE%20CELULARES" TargetMode="External"/><Relationship Id="rId33" Type="http://schemas.openxmlformats.org/officeDocument/2006/relationships/hyperlink" Target="../../../Forms/AllItems.aspx?id=%2Fsites%2FRODNEY%2FShared%20Documents%2FRODNEY%2F11%2EGENERALES%2FMEJORA%20CONTINUA%2F39%2EMejora%20wifi%20en%20Deposito&amp;viewid=43e9dba8%2D5a55%2D41a8%2D8099%2Da4035bf4d43f&amp;p=true&amp;ct=1780075599205&amp;or=Teams%2DHL&amp;LOF=1" TargetMode="External"/><Relationship Id="rId38" Type="http://schemas.openxmlformats.org/officeDocument/2006/relationships/hyperlink" Target="../../../../../../:f:/s/RODNEY/IgCA_UlF-wdjT7wH59EJ1ttPAWnduO7SkZRIyUS9eyypYFc?e=vJs0xb" TargetMode="External"/><Relationship Id="rId46" Type="http://schemas.openxmlformats.org/officeDocument/2006/relationships/hyperlink" Target="../../../../../../:f:/s/RODNEY/IgCBD5uKA8iBR5S4508wcPxdAQzi41MX2vMxoJNbrj_On-E?e=GOvJXS" TargetMode="External"/><Relationship Id="rId20" Type="http://schemas.openxmlformats.org/officeDocument/2006/relationships/hyperlink" Target="../../../../../../:f:/s/RODNEY/IgBuiikDJJCyRYhPSU40SmfFAduKEOk5WzrOuR_xYC774BE?e=Etq39V" TargetMode="External"/><Relationship Id="rId41" Type="http://schemas.openxmlformats.org/officeDocument/2006/relationships/hyperlink" Target="https://mirgor.sharepoint.com/:x:/s/RODNEY/IQCvJiNT_fxMQYWUPOkGKK1tAad-KYvS4jeFBWEPSyVy6r8?e=FdNKXv" TargetMode="External"/><Relationship Id="rId54" Type="http://schemas.openxmlformats.org/officeDocument/2006/relationships/table" Target="../tables/table1.xml"/><Relationship Id="rId1" Type="http://schemas.openxmlformats.org/officeDocument/2006/relationships/hyperlink" Target="Aumento%20de%20Capacidad%20de%20Almacenamiento" TargetMode="External"/><Relationship Id="rId6" Type="http://schemas.openxmlformats.org/officeDocument/2006/relationships/hyperlink" Target="7.%20ADECUACION%20DE%20OPERACION%20DE%20EQUIPOS%20MEDICOS" TargetMode="External"/><Relationship Id="rId15" Type="http://schemas.openxmlformats.org/officeDocument/2006/relationships/hyperlink" Target="17.%20MEJORA%20DE%20REGISTRO%20PRODUCTIVO%20PARA%20TOMA%20DECISIONES" TargetMode="External"/><Relationship Id="rId23" Type="http://schemas.openxmlformats.org/officeDocument/2006/relationships/hyperlink" Target="23.%20MEJORA%20DE%20VISUALIZACI&#211;N%20DE%20PUERTA%20DE%20CIRCULACI&#211;N%20ENTRE%20AREAS" TargetMode="External"/><Relationship Id="rId28" Type="http://schemas.openxmlformats.org/officeDocument/2006/relationships/hyperlink" Target="../../../../../../:f:/s/RODNEY/IgCL002YRHuuSLB2GdbTYppkAUSVKLsOGtXO5VN0nvnGhY4?e=vw4xqe" TargetMode="External"/><Relationship Id="rId36" Type="http://schemas.openxmlformats.org/officeDocument/2006/relationships/hyperlink" Target="../../../../../../:f:/s/RODNEY/IgBOu1Ibo_x3RLFEydzggFTnAWivpsiFyRr_LaeBNaSrsbE?e=Wianx9" TargetMode="External"/><Relationship Id="rId49" Type="http://schemas.openxmlformats.org/officeDocument/2006/relationships/hyperlink" Target="../../../../../../:f:/s/RODNEY/IgDiMloAp0LDR6Pu4pWHX9VpAVXOgWuYIxZZ10Z5FvQdLvI?e=xRAQtS" TargetMode="External"/></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D4AF18-66F1-4FA2-B2D6-E1A15BFB27F0}">
  <sheetPr codeName="Hoja5"/>
  <dimension ref="M9:M11"/>
  <sheetViews>
    <sheetView workbookViewId="0">
      <selection activeCell="F15" sqref="F15"/>
    </sheetView>
  </sheetViews>
  <sheetFormatPr baseColWidth="10" defaultColWidth="11" defaultRowHeight="14.25"/>
  <sheetData>
    <row r="9" spans="13:13" ht="15">
      <c r="M9" s="98"/>
    </row>
    <row r="10" spans="13:13" ht="15">
      <c r="M10" s="98"/>
    </row>
    <row r="11" spans="13:13" ht="15">
      <c r="M11" s="9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79045-DDE8-491A-8431-31C2D7820ED5}">
  <sheetPr codeName="Hoja1"/>
  <dimension ref="A1:B366"/>
  <sheetViews>
    <sheetView topLeftCell="A4" zoomScaleNormal="100" workbookViewId="0">
      <selection activeCell="B25" sqref="B25"/>
    </sheetView>
  </sheetViews>
  <sheetFormatPr baseColWidth="10" defaultColWidth="11" defaultRowHeight="12"/>
  <cols>
    <col min="1" max="1" width="8.625" style="101" bestFit="1" customWidth="1"/>
    <col min="2" max="2" width="14.625" style="101" bestFit="1" customWidth="1"/>
    <col min="3" max="16384" width="11" style="101"/>
  </cols>
  <sheetData>
    <row r="1" spans="1:2">
      <c r="A1" s="100">
        <v>46023</v>
      </c>
      <c r="B1" s="101" t="s">
        <v>0</v>
      </c>
    </row>
    <row r="2" spans="1:2">
      <c r="A2" s="100">
        <v>46024</v>
      </c>
      <c r="B2" s="101" t="s">
        <v>1</v>
      </c>
    </row>
    <row r="3" spans="1:2">
      <c r="A3" s="100">
        <v>46025</v>
      </c>
      <c r="B3" s="101" t="s">
        <v>2</v>
      </c>
    </row>
    <row r="4" spans="1:2">
      <c r="A4" s="100">
        <v>46026</v>
      </c>
      <c r="B4" s="101" t="s">
        <v>3</v>
      </c>
    </row>
    <row r="5" spans="1:2">
      <c r="A5" s="100">
        <v>46027</v>
      </c>
      <c r="B5" s="101" t="s">
        <v>4</v>
      </c>
    </row>
    <row r="6" spans="1:2">
      <c r="A6" s="100">
        <v>46028</v>
      </c>
      <c r="B6" s="101" t="s">
        <v>5</v>
      </c>
    </row>
    <row r="7" spans="1:2">
      <c r="A7" s="100">
        <v>46029</v>
      </c>
      <c r="B7" s="101" t="s">
        <v>6</v>
      </c>
    </row>
    <row r="8" spans="1:2">
      <c r="A8" s="100">
        <v>46030</v>
      </c>
      <c r="B8" s="101" t="s">
        <v>7</v>
      </c>
    </row>
    <row r="9" spans="1:2">
      <c r="A9" s="100">
        <v>46031</v>
      </c>
      <c r="B9" s="101" t="s">
        <v>8</v>
      </c>
    </row>
    <row r="10" spans="1:2">
      <c r="A10" s="100">
        <v>46032</v>
      </c>
      <c r="B10" s="101" t="s">
        <v>9</v>
      </c>
    </row>
    <row r="11" spans="1:2">
      <c r="A11" s="100">
        <v>46033</v>
      </c>
      <c r="B11" s="101" t="s">
        <v>10</v>
      </c>
    </row>
    <row r="12" spans="1:2">
      <c r="A12" s="100">
        <v>46034</v>
      </c>
      <c r="B12" s="101" t="s">
        <v>11</v>
      </c>
    </row>
    <row r="13" spans="1:2">
      <c r="A13" s="100">
        <v>46035</v>
      </c>
      <c r="B13" s="101" t="s">
        <v>12</v>
      </c>
    </row>
    <row r="14" spans="1:2">
      <c r="A14" s="100">
        <v>46036</v>
      </c>
      <c r="B14" s="101" t="s">
        <v>13</v>
      </c>
    </row>
    <row r="15" spans="1:2">
      <c r="A15" s="100">
        <v>46037</v>
      </c>
      <c r="B15" s="101" t="s">
        <v>14</v>
      </c>
    </row>
    <row r="16" spans="1:2">
      <c r="A16" s="100">
        <v>46038</v>
      </c>
      <c r="B16" s="101" t="s">
        <v>15</v>
      </c>
    </row>
    <row r="17" spans="1:2">
      <c r="A17" s="100">
        <v>46039</v>
      </c>
      <c r="B17" s="101" t="s">
        <v>16</v>
      </c>
    </row>
    <row r="18" spans="1:2">
      <c r="A18" s="100">
        <v>46040</v>
      </c>
      <c r="B18" s="101" t="s">
        <v>17</v>
      </c>
    </row>
    <row r="19" spans="1:2">
      <c r="A19" s="100">
        <v>46041</v>
      </c>
      <c r="B19" s="101" t="s">
        <v>18</v>
      </c>
    </row>
    <row r="20" spans="1:2">
      <c r="A20" s="100">
        <v>46042</v>
      </c>
      <c r="B20" s="101" t="s">
        <v>19</v>
      </c>
    </row>
    <row r="21" spans="1:2">
      <c r="A21" s="100">
        <v>46043</v>
      </c>
      <c r="B21" s="101" t="s">
        <v>20</v>
      </c>
    </row>
    <row r="22" spans="1:2">
      <c r="A22" s="100">
        <v>46044</v>
      </c>
      <c r="B22" s="101" t="s">
        <v>21</v>
      </c>
    </row>
    <row r="23" spans="1:2">
      <c r="A23" s="100">
        <v>46045</v>
      </c>
      <c r="B23" s="101" t="s">
        <v>22</v>
      </c>
    </row>
    <row r="24" spans="1:2">
      <c r="A24" s="100">
        <v>46046</v>
      </c>
      <c r="B24" s="101" t="s">
        <v>23</v>
      </c>
    </row>
    <row r="25" spans="1:2">
      <c r="A25" s="100">
        <v>46047</v>
      </c>
      <c r="B25" s="101" t="s">
        <v>24</v>
      </c>
    </row>
    <row r="26" spans="1:2">
      <c r="A26" s="100">
        <v>46048</v>
      </c>
      <c r="B26" s="101" t="s">
        <v>24</v>
      </c>
    </row>
    <row r="27" spans="1:2">
      <c r="A27" s="100">
        <v>46049</v>
      </c>
      <c r="B27" s="101" t="s">
        <v>24</v>
      </c>
    </row>
    <row r="28" spans="1:2">
      <c r="A28" s="100">
        <v>46050</v>
      </c>
      <c r="B28" s="101" t="s">
        <v>24</v>
      </c>
    </row>
    <row r="29" spans="1:2">
      <c r="A29" s="100">
        <v>46051</v>
      </c>
      <c r="B29" s="101" t="s">
        <v>24</v>
      </c>
    </row>
    <row r="30" spans="1:2">
      <c r="A30" s="100">
        <v>46052</v>
      </c>
      <c r="B30" s="101" t="s">
        <v>24</v>
      </c>
    </row>
    <row r="31" spans="1:2">
      <c r="A31" s="100">
        <v>46053</v>
      </c>
      <c r="B31" s="101" t="s">
        <v>24</v>
      </c>
    </row>
    <row r="32" spans="1:2">
      <c r="A32" s="100">
        <v>46054</v>
      </c>
      <c r="B32" s="101" t="s">
        <v>24</v>
      </c>
    </row>
    <row r="33" spans="1:2">
      <c r="A33" s="100">
        <v>46055</v>
      </c>
      <c r="B33" s="101" t="s">
        <v>24</v>
      </c>
    </row>
    <row r="34" spans="1:2">
      <c r="A34" s="100">
        <v>46056</v>
      </c>
      <c r="B34" s="101" t="s">
        <v>24</v>
      </c>
    </row>
    <row r="35" spans="1:2">
      <c r="A35" s="100">
        <v>46057</v>
      </c>
      <c r="B35" s="101" t="s">
        <v>24</v>
      </c>
    </row>
    <row r="36" spans="1:2">
      <c r="A36" s="100">
        <v>46058</v>
      </c>
      <c r="B36" s="101" t="s">
        <v>24</v>
      </c>
    </row>
    <row r="37" spans="1:2">
      <c r="A37" s="100">
        <v>46059</v>
      </c>
      <c r="B37" s="101" t="s">
        <v>24</v>
      </c>
    </row>
    <row r="38" spans="1:2">
      <c r="A38" s="100">
        <v>46060</v>
      </c>
      <c r="B38" s="101" t="s">
        <v>24</v>
      </c>
    </row>
    <row r="39" spans="1:2">
      <c r="A39" s="100">
        <v>46061</v>
      </c>
      <c r="B39" s="101" t="s">
        <v>24</v>
      </c>
    </row>
    <row r="40" spans="1:2">
      <c r="A40" s="100">
        <v>46062</v>
      </c>
      <c r="B40" s="101" t="s">
        <v>24</v>
      </c>
    </row>
    <row r="41" spans="1:2">
      <c r="A41" s="100">
        <v>46063</v>
      </c>
      <c r="B41" s="101" t="s">
        <v>24</v>
      </c>
    </row>
    <row r="42" spans="1:2">
      <c r="A42" s="100">
        <v>46064</v>
      </c>
      <c r="B42" s="101" t="s">
        <v>24</v>
      </c>
    </row>
    <row r="43" spans="1:2">
      <c r="A43" s="100">
        <v>46065</v>
      </c>
      <c r="B43" s="101" t="s">
        <v>24</v>
      </c>
    </row>
    <row r="44" spans="1:2">
      <c r="A44" s="100">
        <v>46066</v>
      </c>
      <c r="B44" s="101" t="s">
        <v>24</v>
      </c>
    </row>
    <row r="45" spans="1:2">
      <c r="A45" s="100">
        <v>46067</v>
      </c>
      <c r="B45" s="101" t="s">
        <v>24</v>
      </c>
    </row>
    <row r="46" spans="1:2">
      <c r="A46" s="100">
        <v>46068</v>
      </c>
      <c r="B46" s="101" t="s">
        <v>24</v>
      </c>
    </row>
    <row r="47" spans="1:2">
      <c r="A47" s="100">
        <v>46069</v>
      </c>
      <c r="B47" s="101" t="s">
        <v>24</v>
      </c>
    </row>
    <row r="48" spans="1:2">
      <c r="A48" s="100">
        <v>46070</v>
      </c>
      <c r="B48" s="101" t="s">
        <v>24</v>
      </c>
    </row>
    <row r="49" spans="1:2">
      <c r="A49" s="100">
        <v>46071</v>
      </c>
      <c r="B49" s="101" t="s">
        <v>24</v>
      </c>
    </row>
    <row r="50" spans="1:2">
      <c r="A50" s="100">
        <v>46072</v>
      </c>
      <c r="B50" s="101" t="s">
        <v>24</v>
      </c>
    </row>
    <row r="51" spans="1:2">
      <c r="A51" s="100">
        <v>46073</v>
      </c>
    </row>
    <row r="52" spans="1:2">
      <c r="A52" s="100">
        <v>46074</v>
      </c>
    </row>
    <row r="53" spans="1:2">
      <c r="A53" s="100">
        <v>46075</v>
      </c>
    </row>
    <row r="54" spans="1:2">
      <c r="A54" s="100">
        <v>46076</v>
      </c>
    </row>
    <row r="55" spans="1:2">
      <c r="A55" s="100">
        <v>46077</v>
      </c>
    </row>
    <row r="56" spans="1:2">
      <c r="A56" s="100">
        <v>46078</v>
      </c>
    </row>
    <row r="57" spans="1:2">
      <c r="A57" s="100">
        <v>46079</v>
      </c>
    </row>
    <row r="58" spans="1:2">
      <c r="A58" s="100">
        <v>46080</v>
      </c>
    </row>
    <row r="59" spans="1:2">
      <c r="A59" s="100">
        <v>46081</v>
      </c>
    </row>
    <row r="60" spans="1:2">
      <c r="A60" s="100">
        <v>46082</v>
      </c>
    </row>
    <row r="61" spans="1:2">
      <c r="A61" s="100">
        <v>46083</v>
      </c>
    </row>
    <row r="62" spans="1:2">
      <c r="A62" s="100">
        <v>46084</v>
      </c>
    </row>
    <row r="63" spans="1:2">
      <c r="A63" s="100">
        <v>46085</v>
      </c>
    </row>
    <row r="64" spans="1:2">
      <c r="A64" s="100">
        <v>46086</v>
      </c>
    </row>
    <row r="65" spans="1:1">
      <c r="A65" s="100">
        <v>46087</v>
      </c>
    </row>
    <row r="66" spans="1:1">
      <c r="A66" s="100">
        <v>46088</v>
      </c>
    </row>
    <row r="67" spans="1:1">
      <c r="A67" s="100">
        <v>46089</v>
      </c>
    </row>
    <row r="68" spans="1:1">
      <c r="A68" s="100">
        <v>46090</v>
      </c>
    </row>
    <row r="69" spans="1:1">
      <c r="A69" s="100">
        <v>46091</v>
      </c>
    </row>
    <row r="70" spans="1:1">
      <c r="A70" s="100">
        <v>46092</v>
      </c>
    </row>
    <row r="71" spans="1:1">
      <c r="A71" s="100">
        <v>46093</v>
      </c>
    </row>
    <row r="72" spans="1:1">
      <c r="A72" s="100">
        <v>46094</v>
      </c>
    </row>
    <row r="73" spans="1:1">
      <c r="A73" s="100">
        <v>46095</v>
      </c>
    </row>
    <row r="74" spans="1:1">
      <c r="A74" s="100">
        <v>46096</v>
      </c>
    </row>
    <row r="75" spans="1:1">
      <c r="A75" s="100">
        <v>46097</v>
      </c>
    </row>
    <row r="76" spans="1:1">
      <c r="A76" s="100">
        <v>46098</v>
      </c>
    </row>
    <row r="77" spans="1:1">
      <c r="A77" s="100">
        <v>46099</v>
      </c>
    </row>
    <row r="78" spans="1:1">
      <c r="A78" s="100">
        <v>46100</v>
      </c>
    </row>
    <row r="79" spans="1:1">
      <c r="A79" s="100">
        <v>46101</v>
      </c>
    </row>
    <row r="80" spans="1:1">
      <c r="A80" s="100">
        <v>46102</v>
      </c>
    </row>
    <row r="81" spans="1:1">
      <c r="A81" s="100">
        <v>46103</v>
      </c>
    </row>
    <row r="82" spans="1:1">
      <c r="A82" s="100">
        <v>46104</v>
      </c>
    </row>
    <row r="83" spans="1:1">
      <c r="A83" s="100">
        <v>46105</v>
      </c>
    </row>
    <row r="84" spans="1:1">
      <c r="A84" s="100">
        <v>46106</v>
      </c>
    </row>
    <row r="85" spans="1:1">
      <c r="A85" s="100">
        <v>46107</v>
      </c>
    </row>
    <row r="86" spans="1:1">
      <c r="A86" s="100">
        <v>46108</v>
      </c>
    </row>
    <row r="87" spans="1:1">
      <c r="A87" s="100">
        <v>46109</v>
      </c>
    </row>
    <row r="88" spans="1:1">
      <c r="A88" s="100">
        <v>46110</v>
      </c>
    </row>
    <row r="89" spans="1:1">
      <c r="A89" s="100">
        <v>46111</v>
      </c>
    </row>
    <row r="90" spans="1:1">
      <c r="A90" s="100">
        <v>46112</v>
      </c>
    </row>
    <row r="91" spans="1:1">
      <c r="A91" s="100">
        <v>46113</v>
      </c>
    </row>
    <row r="92" spans="1:1">
      <c r="A92" s="100">
        <v>46114</v>
      </c>
    </row>
    <row r="93" spans="1:1">
      <c r="A93" s="100">
        <v>46115</v>
      </c>
    </row>
    <row r="94" spans="1:1">
      <c r="A94" s="100">
        <v>46116</v>
      </c>
    </row>
    <row r="95" spans="1:1">
      <c r="A95" s="100">
        <v>46117</v>
      </c>
    </row>
    <row r="96" spans="1:1">
      <c r="A96" s="100">
        <v>46118</v>
      </c>
    </row>
    <row r="97" spans="1:1">
      <c r="A97" s="100">
        <v>46119</v>
      </c>
    </row>
    <row r="98" spans="1:1">
      <c r="A98" s="100">
        <v>46120</v>
      </c>
    </row>
    <row r="99" spans="1:1">
      <c r="A99" s="100">
        <v>46121</v>
      </c>
    </row>
    <row r="100" spans="1:1">
      <c r="A100" s="100">
        <v>46122</v>
      </c>
    </row>
    <row r="101" spans="1:1">
      <c r="A101" s="100">
        <v>46123</v>
      </c>
    </row>
    <row r="102" spans="1:1">
      <c r="A102" s="100">
        <v>46124</v>
      </c>
    </row>
    <row r="103" spans="1:1">
      <c r="A103" s="100">
        <v>46125</v>
      </c>
    </row>
    <row r="104" spans="1:1">
      <c r="A104" s="100">
        <v>46126</v>
      </c>
    </row>
    <row r="105" spans="1:1">
      <c r="A105" s="100">
        <v>46127</v>
      </c>
    </row>
    <row r="106" spans="1:1">
      <c r="A106" s="100">
        <v>46128</v>
      </c>
    </row>
    <row r="107" spans="1:1">
      <c r="A107" s="100">
        <v>46129</v>
      </c>
    </row>
    <row r="108" spans="1:1">
      <c r="A108" s="100">
        <v>46130</v>
      </c>
    </row>
    <row r="109" spans="1:1">
      <c r="A109" s="100">
        <v>46131</v>
      </c>
    </row>
    <row r="110" spans="1:1">
      <c r="A110" s="100">
        <v>46132</v>
      </c>
    </row>
    <row r="111" spans="1:1">
      <c r="A111" s="100">
        <v>46133</v>
      </c>
    </row>
    <row r="112" spans="1:1">
      <c r="A112" s="100">
        <v>46134</v>
      </c>
    </row>
    <row r="113" spans="1:1">
      <c r="A113" s="100">
        <v>46135</v>
      </c>
    </row>
    <row r="114" spans="1:1">
      <c r="A114" s="100">
        <v>46136</v>
      </c>
    </row>
    <row r="115" spans="1:1">
      <c r="A115" s="100">
        <v>46137</v>
      </c>
    </row>
    <row r="116" spans="1:1">
      <c r="A116" s="100">
        <v>46138</v>
      </c>
    </row>
    <row r="117" spans="1:1">
      <c r="A117" s="100">
        <v>46139</v>
      </c>
    </row>
    <row r="118" spans="1:1">
      <c r="A118" s="100">
        <v>46140</v>
      </c>
    </row>
    <row r="119" spans="1:1">
      <c r="A119" s="100">
        <v>46141</v>
      </c>
    </row>
    <row r="120" spans="1:1">
      <c r="A120" s="100">
        <v>46142</v>
      </c>
    </row>
    <row r="121" spans="1:1">
      <c r="A121" s="100">
        <v>46143</v>
      </c>
    </row>
    <row r="122" spans="1:1">
      <c r="A122" s="100">
        <v>46144</v>
      </c>
    </row>
    <row r="123" spans="1:1">
      <c r="A123" s="100">
        <v>46145</v>
      </c>
    </row>
    <row r="124" spans="1:1">
      <c r="A124" s="100">
        <v>46146</v>
      </c>
    </row>
    <row r="125" spans="1:1">
      <c r="A125" s="100">
        <v>46147</v>
      </c>
    </row>
    <row r="126" spans="1:1">
      <c r="A126" s="100">
        <v>46148</v>
      </c>
    </row>
    <row r="127" spans="1:1">
      <c r="A127" s="100">
        <v>46149</v>
      </c>
    </row>
    <row r="128" spans="1:1">
      <c r="A128" s="100">
        <v>46150</v>
      </c>
    </row>
    <row r="129" spans="1:1">
      <c r="A129" s="100">
        <v>46151</v>
      </c>
    </row>
    <row r="130" spans="1:1">
      <c r="A130" s="100">
        <v>46152</v>
      </c>
    </row>
    <row r="131" spans="1:1">
      <c r="A131" s="100">
        <v>46153</v>
      </c>
    </row>
    <row r="132" spans="1:1">
      <c r="A132" s="100">
        <v>46154</v>
      </c>
    </row>
    <row r="133" spans="1:1">
      <c r="A133" s="100">
        <v>46155</v>
      </c>
    </row>
    <row r="134" spans="1:1">
      <c r="A134" s="100">
        <v>46156</v>
      </c>
    </row>
    <row r="135" spans="1:1">
      <c r="A135" s="100">
        <v>46157</v>
      </c>
    </row>
    <row r="136" spans="1:1">
      <c r="A136" s="100">
        <v>46158</v>
      </c>
    </row>
    <row r="137" spans="1:1">
      <c r="A137" s="100">
        <v>46159</v>
      </c>
    </row>
    <row r="138" spans="1:1">
      <c r="A138" s="100">
        <v>46160</v>
      </c>
    </row>
    <row r="139" spans="1:1">
      <c r="A139" s="100">
        <v>46161</v>
      </c>
    </row>
    <row r="140" spans="1:1">
      <c r="A140" s="100">
        <v>46162</v>
      </c>
    </row>
    <row r="141" spans="1:1">
      <c r="A141" s="100">
        <v>46163</v>
      </c>
    </row>
    <row r="142" spans="1:1">
      <c r="A142" s="100">
        <v>46164</v>
      </c>
    </row>
    <row r="143" spans="1:1">
      <c r="A143" s="100">
        <v>46165</v>
      </c>
    </row>
    <row r="144" spans="1:1">
      <c r="A144" s="100">
        <v>46166</v>
      </c>
    </row>
    <row r="145" spans="1:1">
      <c r="A145" s="100">
        <v>46167</v>
      </c>
    </row>
    <row r="146" spans="1:1">
      <c r="A146" s="100">
        <v>46168</v>
      </c>
    </row>
    <row r="147" spans="1:1">
      <c r="A147" s="100">
        <v>46169</v>
      </c>
    </row>
    <row r="148" spans="1:1">
      <c r="A148" s="100">
        <v>46170</v>
      </c>
    </row>
    <row r="149" spans="1:1">
      <c r="A149" s="100">
        <v>46171</v>
      </c>
    </row>
    <row r="150" spans="1:1">
      <c r="A150" s="100">
        <v>46172</v>
      </c>
    </row>
    <row r="151" spans="1:1">
      <c r="A151" s="100">
        <v>46173</v>
      </c>
    </row>
    <row r="152" spans="1:1">
      <c r="A152" s="100">
        <v>46174</v>
      </c>
    </row>
    <row r="153" spans="1:1">
      <c r="A153" s="100">
        <v>46175</v>
      </c>
    </row>
    <row r="154" spans="1:1">
      <c r="A154" s="100">
        <v>46176</v>
      </c>
    </row>
    <row r="155" spans="1:1">
      <c r="A155" s="100">
        <v>46177</v>
      </c>
    </row>
    <row r="156" spans="1:1">
      <c r="A156" s="100">
        <v>46178</v>
      </c>
    </row>
    <row r="157" spans="1:1">
      <c r="A157" s="100">
        <v>46179</v>
      </c>
    </row>
    <row r="158" spans="1:1">
      <c r="A158" s="100">
        <v>46180</v>
      </c>
    </row>
    <row r="159" spans="1:1">
      <c r="A159" s="100">
        <v>46181</v>
      </c>
    </row>
    <row r="160" spans="1:1">
      <c r="A160" s="100">
        <v>46182</v>
      </c>
    </row>
    <row r="161" spans="1:1">
      <c r="A161" s="100">
        <v>46183</v>
      </c>
    </row>
    <row r="162" spans="1:1">
      <c r="A162" s="100">
        <v>46184</v>
      </c>
    </row>
    <row r="163" spans="1:1">
      <c r="A163" s="100">
        <v>46185</v>
      </c>
    </row>
    <row r="164" spans="1:1">
      <c r="A164" s="100">
        <v>46186</v>
      </c>
    </row>
    <row r="165" spans="1:1">
      <c r="A165" s="100">
        <v>46187</v>
      </c>
    </row>
    <row r="166" spans="1:1">
      <c r="A166" s="100">
        <v>46188</v>
      </c>
    </row>
    <row r="167" spans="1:1">
      <c r="A167" s="100">
        <v>46189</v>
      </c>
    </row>
    <row r="168" spans="1:1">
      <c r="A168" s="100">
        <v>46190</v>
      </c>
    </row>
    <row r="169" spans="1:1">
      <c r="A169" s="100">
        <v>46191</v>
      </c>
    </row>
    <row r="170" spans="1:1">
      <c r="A170" s="100">
        <v>46192</v>
      </c>
    </row>
    <row r="171" spans="1:1">
      <c r="A171" s="100">
        <v>46193</v>
      </c>
    </row>
    <row r="172" spans="1:1">
      <c r="A172" s="100">
        <v>46194</v>
      </c>
    </row>
    <row r="173" spans="1:1">
      <c r="A173" s="100">
        <v>46195</v>
      </c>
    </row>
    <row r="174" spans="1:1">
      <c r="A174" s="100">
        <v>46196</v>
      </c>
    </row>
    <row r="175" spans="1:1">
      <c r="A175" s="100">
        <v>46197</v>
      </c>
    </row>
    <row r="176" spans="1:1">
      <c r="A176" s="100">
        <v>46198</v>
      </c>
    </row>
    <row r="177" spans="1:1">
      <c r="A177" s="100">
        <v>46199</v>
      </c>
    </row>
    <row r="178" spans="1:1">
      <c r="A178" s="100">
        <v>46200</v>
      </c>
    </row>
    <row r="179" spans="1:1">
      <c r="A179" s="100">
        <v>46201</v>
      </c>
    </row>
    <row r="180" spans="1:1">
      <c r="A180" s="100">
        <v>46202</v>
      </c>
    </row>
    <row r="181" spans="1:1">
      <c r="A181" s="100">
        <v>46203</v>
      </c>
    </row>
    <row r="182" spans="1:1">
      <c r="A182" s="100">
        <v>46204</v>
      </c>
    </row>
    <row r="183" spans="1:1">
      <c r="A183" s="100">
        <v>46205</v>
      </c>
    </row>
    <row r="184" spans="1:1">
      <c r="A184" s="100">
        <v>46206</v>
      </c>
    </row>
    <row r="185" spans="1:1">
      <c r="A185" s="100">
        <v>46207</v>
      </c>
    </row>
    <row r="186" spans="1:1">
      <c r="A186" s="100">
        <v>46208</v>
      </c>
    </row>
    <row r="187" spans="1:1">
      <c r="A187" s="100">
        <v>46209</v>
      </c>
    </row>
    <row r="188" spans="1:1">
      <c r="A188" s="100">
        <v>46210</v>
      </c>
    </row>
    <row r="189" spans="1:1">
      <c r="A189" s="100">
        <v>46211</v>
      </c>
    </row>
    <row r="190" spans="1:1">
      <c r="A190" s="100">
        <v>46212</v>
      </c>
    </row>
    <row r="191" spans="1:1">
      <c r="A191" s="100">
        <v>46213</v>
      </c>
    </row>
    <row r="192" spans="1:1">
      <c r="A192" s="100">
        <v>46214</v>
      </c>
    </row>
    <row r="193" spans="1:1">
      <c r="A193" s="100">
        <v>46215</v>
      </c>
    </row>
    <row r="194" spans="1:1">
      <c r="A194" s="100">
        <v>46216</v>
      </c>
    </row>
    <row r="195" spans="1:1">
      <c r="A195" s="100">
        <v>46217</v>
      </c>
    </row>
    <row r="196" spans="1:1">
      <c r="A196" s="100">
        <v>46218</v>
      </c>
    </row>
    <row r="197" spans="1:1">
      <c r="A197" s="100">
        <v>46219</v>
      </c>
    </row>
    <row r="198" spans="1:1">
      <c r="A198" s="100">
        <v>46220</v>
      </c>
    </row>
    <row r="199" spans="1:1">
      <c r="A199" s="100">
        <v>46221</v>
      </c>
    </row>
    <row r="200" spans="1:1">
      <c r="A200" s="100">
        <v>46222</v>
      </c>
    </row>
    <row r="201" spans="1:1">
      <c r="A201" s="100">
        <v>46223</v>
      </c>
    </row>
    <row r="202" spans="1:1">
      <c r="A202" s="100">
        <v>46224</v>
      </c>
    </row>
    <row r="203" spans="1:1">
      <c r="A203" s="100">
        <v>46225</v>
      </c>
    </row>
    <row r="204" spans="1:1">
      <c r="A204" s="100">
        <v>46226</v>
      </c>
    </row>
    <row r="205" spans="1:1">
      <c r="A205" s="100">
        <v>46227</v>
      </c>
    </row>
    <row r="206" spans="1:1">
      <c r="A206" s="100">
        <v>46228</v>
      </c>
    </row>
    <row r="207" spans="1:1">
      <c r="A207" s="100">
        <v>46229</v>
      </c>
    </row>
    <row r="208" spans="1:1">
      <c r="A208" s="100">
        <v>46230</v>
      </c>
    </row>
    <row r="209" spans="1:1">
      <c r="A209" s="100">
        <v>46231</v>
      </c>
    </row>
    <row r="210" spans="1:1">
      <c r="A210" s="100">
        <v>46232</v>
      </c>
    </row>
    <row r="211" spans="1:1">
      <c r="A211" s="100">
        <v>46233</v>
      </c>
    </row>
    <row r="212" spans="1:1">
      <c r="A212" s="100">
        <v>46234</v>
      </c>
    </row>
    <row r="213" spans="1:1">
      <c r="A213" s="100">
        <v>46235</v>
      </c>
    </row>
    <row r="214" spans="1:1">
      <c r="A214" s="100">
        <v>46236</v>
      </c>
    </row>
    <row r="215" spans="1:1">
      <c r="A215" s="100">
        <v>46237</v>
      </c>
    </row>
    <row r="216" spans="1:1">
      <c r="A216" s="100">
        <v>46238</v>
      </c>
    </row>
    <row r="217" spans="1:1">
      <c r="A217" s="100">
        <v>46239</v>
      </c>
    </row>
    <row r="218" spans="1:1">
      <c r="A218" s="100">
        <v>46240</v>
      </c>
    </row>
    <row r="219" spans="1:1">
      <c r="A219" s="100">
        <v>46241</v>
      </c>
    </row>
    <row r="220" spans="1:1">
      <c r="A220" s="100">
        <v>46242</v>
      </c>
    </row>
    <row r="221" spans="1:1">
      <c r="A221" s="100">
        <v>46243</v>
      </c>
    </row>
    <row r="222" spans="1:1">
      <c r="A222" s="100">
        <v>46244</v>
      </c>
    </row>
    <row r="223" spans="1:1">
      <c r="A223" s="100">
        <v>46245</v>
      </c>
    </row>
    <row r="224" spans="1:1">
      <c r="A224" s="100">
        <v>46246</v>
      </c>
    </row>
    <row r="225" spans="1:1">
      <c r="A225" s="100">
        <v>46247</v>
      </c>
    </row>
    <row r="226" spans="1:1">
      <c r="A226" s="100">
        <v>46248</v>
      </c>
    </row>
    <row r="227" spans="1:1">
      <c r="A227" s="100">
        <v>46249</v>
      </c>
    </row>
    <row r="228" spans="1:1">
      <c r="A228" s="100">
        <v>46250</v>
      </c>
    </row>
    <row r="229" spans="1:1">
      <c r="A229" s="100">
        <v>46251</v>
      </c>
    </row>
    <row r="230" spans="1:1">
      <c r="A230" s="100">
        <v>46252</v>
      </c>
    </row>
    <row r="231" spans="1:1">
      <c r="A231" s="100">
        <v>46253</v>
      </c>
    </row>
    <row r="232" spans="1:1">
      <c r="A232" s="100">
        <v>46254</v>
      </c>
    </row>
    <row r="233" spans="1:1">
      <c r="A233" s="100">
        <v>46255</v>
      </c>
    </row>
    <row r="234" spans="1:1">
      <c r="A234" s="100">
        <v>46256</v>
      </c>
    </row>
    <row r="235" spans="1:1">
      <c r="A235" s="100">
        <v>46257</v>
      </c>
    </row>
    <row r="236" spans="1:1">
      <c r="A236" s="100">
        <v>46258</v>
      </c>
    </row>
    <row r="237" spans="1:1">
      <c r="A237" s="100">
        <v>46259</v>
      </c>
    </row>
    <row r="238" spans="1:1">
      <c r="A238" s="100">
        <v>46260</v>
      </c>
    </row>
    <row r="239" spans="1:1">
      <c r="A239" s="100">
        <v>46261</v>
      </c>
    </row>
    <row r="240" spans="1:1">
      <c r="A240" s="100">
        <v>46262</v>
      </c>
    </row>
    <row r="241" spans="1:1">
      <c r="A241" s="100">
        <v>46263</v>
      </c>
    </row>
    <row r="242" spans="1:1">
      <c r="A242" s="100">
        <v>46264</v>
      </c>
    </row>
    <row r="243" spans="1:1">
      <c r="A243" s="100">
        <v>46265</v>
      </c>
    </row>
    <row r="244" spans="1:1">
      <c r="A244" s="100">
        <v>46266</v>
      </c>
    </row>
    <row r="245" spans="1:1">
      <c r="A245" s="100">
        <v>46267</v>
      </c>
    </row>
    <row r="246" spans="1:1">
      <c r="A246" s="100">
        <v>46268</v>
      </c>
    </row>
    <row r="247" spans="1:1">
      <c r="A247" s="100">
        <v>46269</v>
      </c>
    </row>
    <row r="248" spans="1:1">
      <c r="A248" s="100">
        <v>46270</v>
      </c>
    </row>
    <row r="249" spans="1:1">
      <c r="A249" s="100">
        <v>46271</v>
      </c>
    </row>
    <row r="250" spans="1:1">
      <c r="A250" s="100">
        <v>46272</v>
      </c>
    </row>
    <row r="251" spans="1:1">
      <c r="A251" s="100">
        <v>46273</v>
      </c>
    </row>
    <row r="252" spans="1:1">
      <c r="A252" s="100">
        <v>46274</v>
      </c>
    </row>
    <row r="253" spans="1:1">
      <c r="A253" s="100">
        <v>46275</v>
      </c>
    </row>
    <row r="254" spans="1:1">
      <c r="A254" s="100">
        <v>46276</v>
      </c>
    </row>
    <row r="255" spans="1:1">
      <c r="A255" s="100">
        <v>46277</v>
      </c>
    </row>
    <row r="256" spans="1:1">
      <c r="A256" s="100">
        <v>46278</v>
      </c>
    </row>
    <row r="257" spans="1:1">
      <c r="A257" s="100">
        <v>46279</v>
      </c>
    </row>
    <row r="258" spans="1:1">
      <c r="A258" s="100">
        <v>46280</v>
      </c>
    </row>
    <row r="259" spans="1:1">
      <c r="A259" s="100">
        <v>46281</v>
      </c>
    </row>
    <row r="260" spans="1:1">
      <c r="A260" s="100">
        <v>46282</v>
      </c>
    </row>
    <row r="261" spans="1:1">
      <c r="A261" s="100">
        <v>46283</v>
      </c>
    </row>
    <row r="262" spans="1:1">
      <c r="A262" s="100">
        <v>46284</v>
      </c>
    </row>
    <row r="263" spans="1:1">
      <c r="A263" s="100">
        <v>46285</v>
      </c>
    </row>
    <row r="264" spans="1:1">
      <c r="A264" s="100">
        <v>46286</v>
      </c>
    </row>
    <row r="265" spans="1:1">
      <c r="A265" s="100">
        <v>46287</v>
      </c>
    </row>
    <row r="266" spans="1:1">
      <c r="A266" s="100">
        <v>46288</v>
      </c>
    </row>
    <row r="267" spans="1:1">
      <c r="A267" s="100">
        <v>46289</v>
      </c>
    </row>
    <row r="268" spans="1:1">
      <c r="A268" s="100">
        <v>46290</v>
      </c>
    </row>
    <row r="269" spans="1:1">
      <c r="A269" s="100">
        <v>46291</v>
      </c>
    </row>
    <row r="270" spans="1:1">
      <c r="A270" s="100">
        <v>46292</v>
      </c>
    </row>
    <row r="271" spans="1:1">
      <c r="A271" s="100">
        <v>46293</v>
      </c>
    </row>
    <row r="272" spans="1:1">
      <c r="A272" s="100">
        <v>46294</v>
      </c>
    </row>
    <row r="273" spans="1:1">
      <c r="A273" s="100">
        <v>46295</v>
      </c>
    </row>
    <row r="274" spans="1:1">
      <c r="A274" s="100">
        <v>46296</v>
      </c>
    </row>
    <row r="275" spans="1:1">
      <c r="A275" s="100">
        <v>46297</v>
      </c>
    </row>
    <row r="276" spans="1:1">
      <c r="A276" s="100">
        <v>46298</v>
      </c>
    </row>
    <row r="277" spans="1:1">
      <c r="A277" s="100">
        <v>46299</v>
      </c>
    </row>
    <row r="278" spans="1:1">
      <c r="A278" s="100">
        <v>46300</v>
      </c>
    </row>
    <row r="279" spans="1:1">
      <c r="A279" s="100">
        <v>46301</v>
      </c>
    </row>
    <row r="280" spans="1:1">
      <c r="A280" s="100">
        <v>46302</v>
      </c>
    </row>
    <row r="281" spans="1:1">
      <c r="A281" s="100">
        <v>46303</v>
      </c>
    </row>
    <row r="282" spans="1:1">
      <c r="A282" s="100">
        <v>46304</v>
      </c>
    </row>
    <row r="283" spans="1:1">
      <c r="A283" s="100">
        <v>46305</v>
      </c>
    </row>
    <row r="284" spans="1:1">
      <c r="A284" s="100">
        <v>46306</v>
      </c>
    </row>
    <row r="285" spans="1:1">
      <c r="A285" s="100">
        <v>46307</v>
      </c>
    </row>
    <row r="286" spans="1:1">
      <c r="A286" s="100">
        <v>46308</v>
      </c>
    </row>
    <row r="287" spans="1:1">
      <c r="A287" s="100">
        <v>46309</v>
      </c>
    </row>
    <row r="288" spans="1:1">
      <c r="A288" s="100">
        <v>46310</v>
      </c>
    </row>
    <row r="289" spans="1:1">
      <c r="A289" s="100">
        <v>46311</v>
      </c>
    </row>
    <row r="290" spans="1:1">
      <c r="A290" s="100">
        <v>46312</v>
      </c>
    </row>
    <row r="291" spans="1:1">
      <c r="A291" s="100">
        <v>46313</v>
      </c>
    </row>
    <row r="292" spans="1:1">
      <c r="A292" s="100">
        <v>46314</v>
      </c>
    </row>
    <row r="293" spans="1:1">
      <c r="A293" s="100">
        <v>46315</v>
      </c>
    </row>
    <row r="294" spans="1:1">
      <c r="A294" s="100">
        <v>46316</v>
      </c>
    </row>
    <row r="295" spans="1:1">
      <c r="A295" s="100">
        <v>46317</v>
      </c>
    </row>
    <row r="296" spans="1:1">
      <c r="A296" s="100">
        <v>46318</v>
      </c>
    </row>
    <row r="297" spans="1:1">
      <c r="A297" s="100">
        <v>46319</v>
      </c>
    </row>
    <row r="298" spans="1:1">
      <c r="A298" s="100">
        <v>46320</v>
      </c>
    </row>
    <row r="299" spans="1:1">
      <c r="A299" s="100">
        <v>46321</v>
      </c>
    </row>
    <row r="300" spans="1:1">
      <c r="A300" s="100">
        <v>46322</v>
      </c>
    </row>
    <row r="301" spans="1:1">
      <c r="A301" s="100">
        <v>46323</v>
      </c>
    </row>
    <row r="302" spans="1:1">
      <c r="A302" s="100">
        <v>46324</v>
      </c>
    </row>
    <row r="303" spans="1:1">
      <c r="A303" s="100">
        <v>46325</v>
      </c>
    </row>
    <row r="304" spans="1:1">
      <c r="A304" s="100">
        <v>46326</v>
      </c>
    </row>
    <row r="305" spans="1:1">
      <c r="A305" s="100">
        <v>46327</v>
      </c>
    </row>
    <row r="306" spans="1:1">
      <c r="A306" s="100">
        <v>46328</v>
      </c>
    </row>
    <row r="307" spans="1:1">
      <c r="A307" s="100">
        <v>46329</v>
      </c>
    </row>
    <row r="308" spans="1:1">
      <c r="A308" s="100">
        <v>46330</v>
      </c>
    </row>
    <row r="309" spans="1:1">
      <c r="A309" s="100">
        <v>46331</v>
      </c>
    </row>
    <row r="310" spans="1:1">
      <c r="A310" s="100">
        <v>46332</v>
      </c>
    </row>
    <row r="311" spans="1:1">
      <c r="A311" s="100">
        <v>46333</v>
      </c>
    </row>
    <row r="312" spans="1:1">
      <c r="A312" s="100">
        <v>46334</v>
      </c>
    </row>
    <row r="313" spans="1:1">
      <c r="A313" s="100">
        <v>46335</v>
      </c>
    </row>
    <row r="314" spans="1:1">
      <c r="A314" s="100">
        <v>46336</v>
      </c>
    </row>
    <row r="315" spans="1:1">
      <c r="A315" s="100">
        <v>46337</v>
      </c>
    </row>
    <row r="316" spans="1:1">
      <c r="A316" s="100">
        <v>46338</v>
      </c>
    </row>
    <row r="317" spans="1:1">
      <c r="A317" s="100">
        <v>46339</v>
      </c>
    </row>
    <row r="318" spans="1:1">
      <c r="A318" s="100">
        <v>46340</v>
      </c>
    </row>
    <row r="319" spans="1:1">
      <c r="A319" s="100">
        <v>46341</v>
      </c>
    </row>
    <row r="320" spans="1:1">
      <c r="A320" s="100">
        <v>46342</v>
      </c>
    </row>
    <row r="321" spans="1:1">
      <c r="A321" s="100">
        <v>46343</v>
      </c>
    </row>
    <row r="322" spans="1:1">
      <c r="A322" s="100">
        <v>46344</v>
      </c>
    </row>
    <row r="323" spans="1:1">
      <c r="A323" s="100">
        <v>46345</v>
      </c>
    </row>
    <row r="324" spans="1:1">
      <c r="A324" s="100">
        <v>46346</v>
      </c>
    </row>
    <row r="325" spans="1:1">
      <c r="A325" s="100">
        <v>46347</v>
      </c>
    </row>
    <row r="326" spans="1:1">
      <c r="A326" s="100">
        <v>46348</v>
      </c>
    </row>
    <row r="327" spans="1:1">
      <c r="A327" s="100">
        <v>46349</v>
      </c>
    </row>
    <row r="328" spans="1:1">
      <c r="A328" s="100">
        <v>46350</v>
      </c>
    </row>
    <row r="329" spans="1:1">
      <c r="A329" s="100">
        <v>46351</v>
      </c>
    </row>
    <row r="330" spans="1:1">
      <c r="A330" s="100">
        <v>46352</v>
      </c>
    </row>
    <row r="331" spans="1:1">
      <c r="A331" s="100">
        <v>46353</v>
      </c>
    </row>
    <row r="332" spans="1:1">
      <c r="A332" s="100">
        <v>46354</v>
      </c>
    </row>
    <row r="333" spans="1:1">
      <c r="A333" s="100">
        <v>46355</v>
      </c>
    </row>
    <row r="334" spans="1:1">
      <c r="A334" s="100">
        <v>46356</v>
      </c>
    </row>
    <row r="335" spans="1:1">
      <c r="A335" s="100">
        <v>46357</v>
      </c>
    </row>
    <row r="336" spans="1:1">
      <c r="A336" s="100">
        <v>46358</v>
      </c>
    </row>
    <row r="337" spans="1:1">
      <c r="A337" s="100">
        <v>46359</v>
      </c>
    </row>
    <row r="338" spans="1:1">
      <c r="A338" s="100">
        <v>46360</v>
      </c>
    </row>
    <row r="339" spans="1:1">
      <c r="A339" s="100">
        <v>46361</v>
      </c>
    </row>
    <row r="340" spans="1:1">
      <c r="A340" s="100">
        <v>46362</v>
      </c>
    </row>
    <row r="341" spans="1:1">
      <c r="A341" s="100">
        <v>46363</v>
      </c>
    </row>
    <row r="342" spans="1:1">
      <c r="A342" s="100">
        <v>46364</v>
      </c>
    </row>
    <row r="343" spans="1:1">
      <c r="A343" s="100">
        <v>46365</v>
      </c>
    </row>
    <row r="344" spans="1:1">
      <c r="A344" s="100">
        <v>46366</v>
      </c>
    </row>
    <row r="345" spans="1:1">
      <c r="A345" s="100">
        <v>46367</v>
      </c>
    </row>
    <row r="346" spans="1:1">
      <c r="A346" s="100">
        <v>46368</v>
      </c>
    </row>
    <row r="347" spans="1:1">
      <c r="A347" s="100">
        <v>46369</v>
      </c>
    </row>
    <row r="348" spans="1:1">
      <c r="A348" s="100">
        <v>46370</v>
      </c>
    </row>
    <row r="349" spans="1:1">
      <c r="A349" s="100">
        <v>46371</v>
      </c>
    </row>
    <row r="350" spans="1:1">
      <c r="A350" s="100">
        <v>46372</v>
      </c>
    </row>
    <row r="351" spans="1:1">
      <c r="A351" s="100">
        <v>46373</v>
      </c>
    </row>
    <row r="352" spans="1:1">
      <c r="A352" s="100">
        <v>46374</v>
      </c>
    </row>
    <row r="353" spans="1:1">
      <c r="A353" s="100">
        <v>46375</v>
      </c>
    </row>
    <row r="354" spans="1:1">
      <c r="A354" s="100">
        <v>46376</v>
      </c>
    </row>
    <row r="355" spans="1:1">
      <c r="A355" s="100">
        <v>46377</v>
      </c>
    </row>
    <row r="356" spans="1:1">
      <c r="A356" s="100">
        <v>46378</v>
      </c>
    </row>
    <row r="357" spans="1:1">
      <c r="A357" s="100">
        <v>46379</v>
      </c>
    </row>
    <row r="358" spans="1:1">
      <c r="A358" s="100">
        <v>46380</v>
      </c>
    </row>
    <row r="359" spans="1:1">
      <c r="A359" s="100">
        <v>46381</v>
      </c>
    </row>
    <row r="360" spans="1:1">
      <c r="A360" s="100">
        <v>46382</v>
      </c>
    </row>
    <row r="361" spans="1:1">
      <c r="A361" s="100">
        <v>46383</v>
      </c>
    </row>
    <row r="362" spans="1:1">
      <c r="A362" s="100">
        <v>46384</v>
      </c>
    </row>
    <row r="363" spans="1:1">
      <c r="A363" s="100">
        <v>46385</v>
      </c>
    </row>
    <row r="364" spans="1:1">
      <c r="A364" s="100">
        <v>46386</v>
      </c>
    </row>
    <row r="365" spans="1:1">
      <c r="A365" s="100">
        <v>46387</v>
      </c>
    </row>
    <row r="366" spans="1:1">
      <c r="A366" s="100">
        <v>46388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227957-74F7-4573-AAEE-89EB37BE5937}">
  <sheetPr codeName="Hoja2"/>
  <dimension ref="B1:T29"/>
  <sheetViews>
    <sheetView showGridLines="0" topLeftCell="A82" zoomScale="85" zoomScaleNormal="85" workbookViewId="0">
      <selection activeCell="G13" sqref="G13"/>
    </sheetView>
  </sheetViews>
  <sheetFormatPr baseColWidth="10" defaultColWidth="11" defaultRowHeight="14.25"/>
  <cols>
    <col min="1" max="1" width="13.75" bestFit="1" customWidth="1"/>
    <col min="2" max="2" width="12" style="2" bestFit="1" customWidth="1"/>
    <col min="3" max="3" width="13.125" bestFit="1" customWidth="1"/>
    <col min="4" max="5" width="13.5" bestFit="1" customWidth="1"/>
    <col min="6" max="6" width="2" bestFit="1" customWidth="1"/>
    <col min="7" max="7" width="13.875" bestFit="1" customWidth="1"/>
    <col min="9" max="9" width="13.875" bestFit="1" customWidth="1"/>
  </cols>
  <sheetData>
    <row r="1" spans="2:20">
      <c r="B1"/>
    </row>
    <row r="2" spans="2:20">
      <c r="B2"/>
    </row>
    <row r="3" spans="2:20">
      <c r="B3"/>
      <c r="J3">
        <f>+B3</f>
        <v>0</v>
      </c>
      <c r="K3">
        <f>+C3</f>
        <v>0</v>
      </c>
      <c r="L3">
        <f>+D3</f>
        <v>0</v>
      </c>
      <c r="M3">
        <f>+E3</f>
        <v>0</v>
      </c>
      <c r="T3" s="3" t="e">
        <f>SUM(J3)/SUM(J3:K3)</f>
        <v>#DIV/0!</v>
      </c>
    </row>
    <row r="4" spans="2:20">
      <c r="B4"/>
    </row>
    <row r="5" spans="2:20">
      <c r="B5"/>
    </row>
    <row r="6" spans="2:20">
      <c r="B6"/>
    </row>
    <row r="7" spans="2:20">
      <c r="B7"/>
    </row>
    <row r="8" spans="2:20">
      <c r="B8"/>
    </row>
    <row r="9" spans="2:20">
      <c r="B9"/>
    </row>
    <row r="10" spans="2:20">
      <c r="B10"/>
    </row>
    <row r="11" spans="2:20">
      <c r="B11"/>
    </row>
    <row r="12" spans="2:20">
      <c r="B12"/>
    </row>
    <row r="13" spans="2:20">
      <c r="B13"/>
    </row>
    <row r="14" spans="2:20">
      <c r="B14"/>
    </row>
    <row r="15" spans="2:20">
      <c r="B15"/>
    </row>
    <row r="16" spans="2:20">
      <c r="B16"/>
    </row>
    <row r="17" spans="2:2">
      <c r="B17"/>
    </row>
    <row r="18" spans="2:2">
      <c r="B18"/>
    </row>
    <row r="21" spans="2:2">
      <c r="B21"/>
    </row>
    <row r="22" spans="2:2">
      <c r="B22"/>
    </row>
    <row r="23" spans="2:2">
      <c r="B23"/>
    </row>
    <row r="24" spans="2:2">
      <c r="B24"/>
    </row>
    <row r="25" spans="2:2">
      <c r="B25"/>
    </row>
    <row r="26" spans="2:2">
      <c r="B26"/>
    </row>
    <row r="27" spans="2:2">
      <c r="B27"/>
    </row>
    <row r="28" spans="2:2">
      <c r="B28"/>
    </row>
    <row r="29" spans="2:2">
      <c r="B29"/>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67912-536E-4882-9BCF-59B244B5DE91}">
  <sheetPr codeName="Hoja6">
    <tabColor rgb="FF75FFB3"/>
  </sheetPr>
  <dimension ref="A1:AA114"/>
  <sheetViews>
    <sheetView showGridLines="0" tabSelected="1" zoomScale="70" zoomScaleNormal="70" zoomScaleSheetLayoutView="70" workbookViewId="0">
      <pane xSplit="5" ySplit="2" topLeftCell="I44" activePane="bottomRight" state="frozen"/>
      <selection pane="topRight" activeCell="Q47" sqref="Q47"/>
      <selection pane="bottomLeft" activeCell="Q47" sqref="Q47"/>
      <selection pane="bottomRight" activeCell="P49" sqref="P49:P75"/>
    </sheetView>
  </sheetViews>
  <sheetFormatPr baseColWidth="10" defaultColWidth="9" defaultRowHeight="80.099999999999994" customHeight="1" outlineLevelCol="1"/>
  <cols>
    <col min="1" max="1" width="8.875" style="148" customWidth="1"/>
    <col min="2" max="2" width="14.125" style="148" customWidth="1"/>
    <col min="3" max="3" width="11.75" style="148" customWidth="1"/>
    <col min="4" max="4" width="16.875" style="148" customWidth="1"/>
    <col min="5" max="5" width="10.625" style="148" customWidth="1"/>
    <col min="6" max="6" width="72.75" style="183" customWidth="1"/>
    <col min="7" max="7" width="68.875" style="183" customWidth="1"/>
    <col min="8" max="8" width="17.75" style="148" customWidth="1"/>
    <col min="9" max="9" width="10.625" style="148" customWidth="1"/>
    <col min="10" max="10" width="14" style="148" customWidth="1"/>
    <col min="11" max="11" width="18.125" style="148" bestFit="1" customWidth="1"/>
    <col min="12" max="12" width="11.875" style="148" customWidth="1"/>
    <col min="13" max="13" width="14.375" style="148" bestFit="1" customWidth="1"/>
    <col min="14" max="14" width="64.25" style="148" customWidth="1" outlineLevel="1"/>
    <col min="15" max="15" width="20.125" style="148" customWidth="1" outlineLevel="1"/>
    <col min="16" max="16" width="18.75" style="148" bestFit="1" customWidth="1"/>
    <col min="17" max="17" width="21.875" style="148" bestFit="1" customWidth="1"/>
    <col min="18" max="18" width="21.5" style="148" bestFit="1" customWidth="1"/>
    <col min="19" max="19" width="18.75" style="148" bestFit="1" customWidth="1"/>
    <col min="20" max="20" width="18.75" style="148" customWidth="1"/>
    <col min="21" max="21" width="19.75" style="148" bestFit="1" customWidth="1"/>
    <col min="22" max="22" width="19.375" style="148" customWidth="1"/>
    <col min="23" max="23" width="18.75" style="148" bestFit="1" customWidth="1"/>
    <col min="24" max="25" width="13.625" style="147" customWidth="1"/>
    <col min="26" max="26" width="12.875" style="147" bestFit="1" customWidth="1"/>
    <col min="27" max="16384" width="9" style="147"/>
  </cols>
  <sheetData>
    <row r="1" spans="1:27" s="182" customFormat="1" ht="61.5" customHeight="1">
      <c r="A1" s="179" t="s">
        <v>25</v>
      </c>
      <c r="B1" s="180"/>
      <c r="C1" s="180"/>
      <c r="D1" s="180"/>
      <c r="E1" s="180"/>
      <c r="F1" s="181"/>
      <c r="G1" s="181"/>
      <c r="H1" s="180"/>
      <c r="I1" s="180"/>
      <c r="J1" s="180"/>
      <c r="K1" s="180"/>
      <c r="L1" s="180"/>
      <c r="M1" s="180"/>
      <c r="N1" s="180"/>
      <c r="O1" s="180"/>
      <c r="P1" s="180"/>
      <c r="Q1" s="180"/>
      <c r="R1" s="180"/>
      <c r="S1" s="180"/>
      <c r="T1" s="180"/>
      <c r="U1" s="180"/>
      <c r="V1" s="180"/>
      <c r="W1" s="180"/>
    </row>
    <row r="2" spans="1:27" s="176" customFormat="1" ht="50.1" customHeight="1">
      <c r="A2" s="174" t="s">
        <v>26</v>
      </c>
      <c r="B2" s="131" t="s">
        <v>27</v>
      </c>
      <c r="C2" s="131" t="s">
        <v>28</v>
      </c>
      <c r="D2" s="131" t="s">
        <v>29</v>
      </c>
      <c r="E2" s="131" t="s">
        <v>30</v>
      </c>
      <c r="F2" s="131" t="s">
        <v>31</v>
      </c>
      <c r="G2" s="131" t="s">
        <v>32</v>
      </c>
      <c r="H2" s="131" t="s">
        <v>33</v>
      </c>
      <c r="I2" s="131" t="s">
        <v>34</v>
      </c>
      <c r="J2" s="131" t="s">
        <v>35</v>
      </c>
      <c r="K2" s="131" t="s">
        <v>36</v>
      </c>
      <c r="L2" s="131" t="s">
        <v>37</v>
      </c>
      <c r="M2" s="131" t="s">
        <v>38</v>
      </c>
      <c r="N2" s="131" t="s">
        <v>39</v>
      </c>
      <c r="O2" s="131" t="s">
        <v>40</v>
      </c>
      <c r="P2" s="131" t="s">
        <v>41</v>
      </c>
      <c r="Q2" s="131" t="s">
        <v>42</v>
      </c>
      <c r="R2" s="131" t="s">
        <v>43</v>
      </c>
      <c r="S2" s="131" t="s">
        <v>44</v>
      </c>
      <c r="T2" s="175" t="s">
        <v>45</v>
      </c>
      <c r="U2" s="175" t="s">
        <v>46</v>
      </c>
      <c r="V2" s="175" t="s">
        <v>47</v>
      </c>
      <c r="W2" s="175" t="s">
        <v>48</v>
      </c>
      <c r="Y2" s="133" t="s">
        <v>49</v>
      </c>
      <c r="Z2" s="177">
        <f ca="1">TODAY()</f>
        <v>46322</v>
      </c>
      <c r="AA2" s="178"/>
    </row>
    <row r="3" spans="1:27" ht="77.45" customHeight="1">
      <c r="A3" s="190">
        <v>1</v>
      </c>
      <c r="B3" s="152">
        <v>46034</v>
      </c>
      <c r="C3" s="137">
        <f>IF(YEAR(Table13[[#This Row],[IMPLEMENTADO]])="","",YEAR(Table13[[#This Row],[IMPLEMENTADO]]))</f>
        <v>2026</v>
      </c>
      <c r="D3" s="138" t="str">
        <f>IF(Table13[[#This Row],[IMPLEMENTADO]]="","",TEXT(Table13[[#This Row],[IMPLEMENTADO]],"Mmm"))</f>
        <v>ene</v>
      </c>
      <c r="E3" s="137">
        <f>DAY(Table13[[#This Row],[IMPLEMENTADO]])</f>
        <v>23</v>
      </c>
      <c r="F3" s="149" t="s">
        <v>50</v>
      </c>
      <c r="G3" s="140" t="s">
        <v>51</v>
      </c>
      <c r="H3" s="141">
        <v>46045</v>
      </c>
      <c r="I3" s="137" t="s">
        <v>52</v>
      </c>
      <c r="J3" s="137" t="s">
        <v>53</v>
      </c>
      <c r="K3" s="137" t="s">
        <v>54</v>
      </c>
      <c r="L3" s="191">
        <v>1</v>
      </c>
      <c r="M3" s="142" t="s">
        <v>55</v>
      </c>
      <c r="N3" s="165"/>
      <c r="O3" s="153">
        <v>912</v>
      </c>
      <c r="P3" s="142" t="s">
        <v>56</v>
      </c>
      <c r="Q3" s="144" t="s">
        <v>423</v>
      </c>
      <c r="R3" s="144" t="s">
        <v>0</v>
      </c>
      <c r="S3" s="142" t="s">
        <v>56</v>
      </c>
      <c r="T3" s="141"/>
      <c r="U3" s="145" t="s">
        <v>57</v>
      </c>
      <c r="V3" s="145"/>
      <c r="W3" s="151"/>
      <c r="AA3" s="148"/>
    </row>
    <row r="4" spans="1:27" s="184" customFormat="1" ht="77.45" customHeight="1">
      <c r="A4" s="190">
        <v>2</v>
      </c>
      <c r="B4" s="152">
        <v>46036</v>
      </c>
      <c r="C4" s="137">
        <f>IF(YEAR(Table13[[#This Row],[IMPLEMENTADO]])="","",YEAR(Table13[[#This Row],[IMPLEMENTADO]]))</f>
        <v>2026</v>
      </c>
      <c r="D4" s="138" t="str">
        <f>IF(Table13[[#This Row],[IMPLEMENTADO]]="","",TEXT(Table13[[#This Row],[IMPLEMENTADO]],"Mmm"))</f>
        <v>ene</v>
      </c>
      <c r="E4" s="137">
        <f>DAY(Table13[[#This Row],[IMPLEMENTADO]])</f>
        <v>28</v>
      </c>
      <c r="F4" s="149" t="s">
        <v>58</v>
      </c>
      <c r="G4" s="149" t="s">
        <v>59</v>
      </c>
      <c r="H4" s="141">
        <v>46050</v>
      </c>
      <c r="I4" s="137" t="s">
        <v>52</v>
      </c>
      <c r="J4" s="137" t="s">
        <v>53</v>
      </c>
      <c r="K4" s="137" t="s">
        <v>60</v>
      </c>
      <c r="L4" s="191">
        <v>1</v>
      </c>
      <c r="M4" s="142" t="s">
        <v>55</v>
      </c>
      <c r="N4" s="150" t="s">
        <v>61</v>
      </c>
      <c r="O4" s="153">
        <v>922</v>
      </c>
      <c r="P4" s="142" t="s">
        <v>56</v>
      </c>
      <c r="Q4" s="144" t="s">
        <v>416</v>
      </c>
      <c r="R4" s="144" t="s">
        <v>3</v>
      </c>
      <c r="S4" s="142" t="s">
        <v>56</v>
      </c>
      <c r="T4" s="141"/>
      <c r="U4" s="145"/>
      <c r="V4" s="145"/>
      <c r="W4" s="151"/>
      <c r="AA4" s="185"/>
    </row>
    <row r="5" spans="1:27" ht="77.45" customHeight="1">
      <c r="A5" s="190">
        <v>3</v>
      </c>
      <c r="B5" s="152">
        <v>46051</v>
      </c>
      <c r="C5" s="137">
        <f>IF(YEAR(Table13[[#This Row],[IMPLEMENTADO]])="","",YEAR(Table13[[#This Row],[IMPLEMENTADO]]))</f>
        <v>2026</v>
      </c>
      <c r="D5" s="138" t="str">
        <f>IF(Table13[[#This Row],[IMPLEMENTADO]]="","",TEXT(Table13[[#This Row],[IMPLEMENTADO]],"Mmm"))</f>
        <v>feb</v>
      </c>
      <c r="E5" s="137">
        <f>DAY(Table13[[#This Row],[IMPLEMENTADO]])</f>
        <v>12</v>
      </c>
      <c r="F5" s="149" t="s">
        <v>62</v>
      </c>
      <c r="G5" s="149" t="s">
        <v>63</v>
      </c>
      <c r="H5" s="141">
        <v>46065</v>
      </c>
      <c r="I5" s="137" t="s">
        <v>52</v>
      </c>
      <c r="J5" s="137" t="s">
        <v>64</v>
      </c>
      <c r="K5" s="137" t="s">
        <v>65</v>
      </c>
      <c r="L5" s="191">
        <v>2</v>
      </c>
      <c r="M5" s="142" t="s">
        <v>55</v>
      </c>
      <c r="N5" s="150" t="s">
        <v>66</v>
      </c>
      <c r="O5" s="153">
        <v>974</v>
      </c>
      <c r="P5" s="142" t="s">
        <v>56</v>
      </c>
      <c r="Q5" s="144" t="s">
        <v>431</v>
      </c>
      <c r="R5" s="144" t="s">
        <v>0</v>
      </c>
      <c r="S5" s="142" t="s">
        <v>56</v>
      </c>
      <c r="T5" s="141"/>
      <c r="U5" s="145" t="s">
        <v>57</v>
      </c>
      <c r="V5" s="145"/>
      <c r="W5" s="167"/>
      <c r="X5" s="148"/>
      <c r="Y5" s="148"/>
      <c r="Z5" s="148"/>
      <c r="AA5" s="148"/>
    </row>
    <row r="6" spans="1:27" ht="77.45" customHeight="1">
      <c r="A6" s="190">
        <v>4</v>
      </c>
      <c r="B6" s="152">
        <v>46051</v>
      </c>
      <c r="C6" s="137">
        <f>IF(YEAR(Table13[[#This Row],[IMPLEMENTADO]])="","",YEAR(Table13[[#This Row],[IMPLEMENTADO]]))</f>
        <v>2026</v>
      </c>
      <c r="D6" s="138" t="str">
        <f>IF(Table13[[#This Row],[IMPLEMENTADO]]="","",TEXT(Table13[[#This Row],[IMPLEMENTADO]],"Mmm"))</f>
        <v>feb</v>
      </c>
      <c r="E6" s="137">
        <f>DAY(Table13[[#This Row],[IMPLEMENTADO]])</f>
        <v>19</v>
      </c>
      <c r="F6" s="149" t="s">
        <v>67</v>
      </c>
      <c r="G6" s="149" t="s">
        <v>68</v>
      </c>
      <c r="H6" s="141">
        <v>46072</v>
      </c>
      <c r="I6" s="137" t="s">
        <v>52</v>
      </c>
      <c r="J6" s="137" t="s">
        <v>64</v>
      </c>
      <c r="K6" s="137" t="s">
        <v>69</v>
      </c>
      <c r="L6" s="191">
        <v>2</v>
      </c>
      <c r="M6" s="142" t="s">
        <v>55</v>
      </c>
      <c r="N6" s="150" t="s">
        <v>70</v>
      </c>
      <c r="O6" s="153" t="s">
        <v>71</v>
      </c>
      <c r="P6" s="142" t="s">
        <v>56</v>
      </c>
      <c r="Q6" s="144" t="s">
        <v>432</v>
      </c>
      <c r="R6" s="144" t="s">
        <v>1</v>
      </c>
      <c r="S6" s="142" t="s">
        <v>56</v>
      </c>
      <c r="T6" s="141"/>
      <c r="U6" s="145"/>
      <c r="V6" s="145"/>
      <c r="W6" s="151"/>
      <c r="X6" s="148"/>
      <c r="Y6" s="148"/>
      <c r="Z6" s="148"/>
      <c r="AA6" s="148"/>
    </row>
    <row r="7" spans="1:27" ht="77.45" customHeight="1">
      <c r="A7" s="190">
        <v>5</v>
      </c>
      <c r="B7" s="152">
        <v>46037</v>
      </c>
      <c r="C7" s="137">
        <f>IF(YEAR(Table13[[#This Row],[IMPLEMENTADO]])="","",YEAR(Table13[[#This Row],[IMPLEMENTADO]]))</f>
        <v>2026</v>
      </c>
      <c r="D7" s="138" t="str">
        <f>IF(Table13[[#This Row],[IMPLEMENTADO]]="","",TEXT(Table13[[#This Row],[IMPLEMENTADO]],"Mmm"))</f>
        <v>feb</v>
      </c>
      <c r="E7" s="137">
        <f>DAY(Table13[[#This Row],[IMPLEMENTADO]])</f>
        <v>20</v>
      </c>
      <c r="F7" s="149" t="s">
        <v>72</v>
      </c>
      <c r="G7" s="140" t="s">
        <v>73</v>
      </c>
      <c r="H7" s="141">
        <v>46073</v>
      </c>
      <c r="I7" s="137" t="s">
        <v>52</v>
      </c>
      <c r="J7" s="137" t="s">
        <v>53</v>
      </c>
      <c r="K7" s="137" t="s">
        <v>65</v>
      </c>
      <c r="L7" s="191">
        <v>1</v>
      </c>
      <c r="M7" s="142" t="s">
        <v>55</v>
      </c>
      <c r="N7" s="150" t="s">
        <v>74</v>
      </c>
      <c r="O7" s="153">
        <v>897</v>
      </c>
      <c r="P7" s="142" t="s">
        <v>56</v>
      </c>
      <c r="Q7" s="144" t="s">
        <v>424</v>
      </c>
      <c r="R7" s="144" t="s">
        <v>0</v>
      </c>
      <c r="S7" s="142" t="s">
        <v>56</v>
      </c>
      <c r="T7" s="141"/>
      <c r="U7" s="145" t="s">
        <v>57</v>
      </c>
      <c r="V7" s="145"/>
      <c r="W7" s="151"/>
      <c r="X7" s="148"/>
      <c r="Y7" s="148"/>
      <c r="Z7" s="148"/>
      <c r="AA7" s="148"/>
    </row>
    <row r="8" spans="1:27" s="157" customFormat="1" ht="77.45" customHeight="1">
      <c r="A8" s="190">
        <v>6</v>
      </c>
      <c r="B8" s="152">
        <v>46059</v>
      </c>
      <c r="C8" s="137">
        <f>IF(YEAR(Table13[[#This Row],[IMPLEMENTADO]])="","",YEAR(Table13[[#This Row],[IMPLEMENTADO]]))</f>
        <v>2026</v>
      </c>
      <c r="D8" s="138" t="str">
        <f>IF(Table13[[#This Row],[IMPLEMENTADO]]="","",TEXT(Table13[[#This Row],[IMPLEMENTADO]],"Mmm"))</f>
        <v>feb</v>
      </c>
      <c r="E8" s="137">
        <f>DAY(Table13[[#This Row],[IMPLEMENTADO]])</f>
        <v>20</v>
      </c>
      <c r="F8" s="149" t="s">
        <v>75</v>
      </c>
      <c r="G8" s="149" t="s">
        <v>76</v>
      </c>
      <c r="H8" s="141">
        <v>46073</v>
      </c>
      <c r="I8" s="137" t="s">
        <v>52</v>
      </c>
      <c r="J8" s="137" t="s">
        <v>64</v>
      </c>
      <c r="K8" s="137" t="s">
        <v>77</v>
      </c>
      <c r="L8" s="191">
        <v>2</v>
      </c>
      <c r="M8" s="142" t="s">
        <v>78</v>
      </c>
      <c r="N8" s="150" t="s">
        <v>79</v>
      </c>
      <c r="O8" s="153">
        <v>936</v>
      </c>
      <c r="P8" s="142" t="s">
        <v>56</v>
      </c>
      <c r="Q8" s="144" t="s">
        <v>433</v>
      </c>
      <c r="R8" s="144" t="s">
        <v>0</v>
      </c>
      <c r="S8" s="142" t="s">
        <v>56</v>
      </c>
      <c r="T8" s="141"/>
      <c r="U8" s="145"/>
      <c r="V8" s="145"/>
      <c r="W8" s="151"/>
    </row>
    <row r="9" spans="1:27" ht="77.45" customHeight="1">
      <c r="A9" s="190">
        <v>7</v>
      </c>
      <c r="B9" s="152">
        <v>46083</v>
      </c>
      <c r="C9" s="137">
        <f>IF(YEAR(Table13[[#This Row],[IMPLEMENTADO]])="","",YEAR(Table13[[#This Row],[IMPLEMENTADO]]))</f>
        <v>2026</v>
      </c>
      <c r="D9" s="138" t="str">
        <f>IF(Table13[[#This Row],[IMPLEMENTADO]]="","",TEXT(Table13[[#This Row],[IMPLEMENTADO]],"Mmm"))</f>
        <v>mar</v>
      </c>
      <c r="E9" s="137">
        <f>DAY(Table13[[#This Row],[IMPLEMENTADO]])</f>
        <v>2</v>
      </c>
      <c r="F9" s="149" t="s">
        <v>80</v>
      </c>
      <c r="G9" s="139" t="s">
        <v>81</v>
      </c>
      <c r="H9" s="141">
        <v>46083</v>
      </c>
      <c r="I9" s="137" t="s">
        <v>52</v>
      </c>
      <c r="J9" s="137" t="s">
        <v>53</v>
      </c>
      <c r="K9" s="137" t="s">
        <v>60</v>
      </c>
      <c r="L9" s="191">
        <v>1</v>
      </c>
      <c r="M9" s="142" t="s">
        <v>55</v>
      </c>
      <c r="N9" s="150" t="s">
        <v>82</v>
      </c>
      <c r="O9" s="153">
        <v>988</v>
      </c>
      <c r="P9" s="142" t="s">
        <v>56</v>
      </c>
      <c r="Q9" s="159" t="s">
        <v>16</v>
      </c>
      <c r="R9" s="144" t="s">
        <v>16</v>
      </c>
      <c r="S9" s="142" t="s">
        <v>56</v>
      </c>
      <c r="T9" s="141"/>
      <c r="U9" s="145"/>
      <c r="V9" s="145"/>
      <c r="W9" s="151"/>
    </row>
    <row r="10" spans="1:27" ht="77.45" customHeight="1">
      <c r="A10" s="190">
        <v>8</v>
      </c>
      <c r="B10" s="152">
        <v>46101</v>
      </c>
      <c r="C10" s="137">
        <f>IF(YEAR(Table13[[#This Row],[IMPLEMENTADO]])="","",YEAR(Table13[[#This Row],[IMPLEMENTADO]]))</f>
        <v>2026</v>
      </c>
      <c r="D10" s="138" t="str">
        <f>IF(Table13[[#This Row],[IMPLEMENTADO]]="","",TEXT(Table13[[#This Row],[IMPLEMENTADO]],"Mmm"))</f>
        <v>mar</v>
      </c>
      <c r="E10" s="137">
        <f>DAY(Table13[[#This Row],[IMPLEMENTADO]])</f>
        <v>10</v>
      </c>
      <c r="F10" s="139" t="s">
        <v>83</v>
      </c>
      <c r="G10" s="139" t="s">
        <v>84</v>
      </c>
      <c r="H10" s="141">
        <v>46091</v>
      </c>
      <c r="I10" s="142" t="s">
        <v>52</v>
      </c>
      <c r="J10" s="142" t="s">
        <v>53</v>
      </c>
      <c r="K10" s="142" t="s">
        <v>60</v>
      </c>
      <c r="L10" s="192">
        <v>1</v>
      </c>
      <c r="M10" s="142" t="s">
        <v>55</v>
      </c>
      <c r="N10" s="150" t="s">
        <v>85</v>
      </c>
      <c r="O10" s="153">
        <v>991</v>
      </c>
      <c r="P10" s="142" t="s">
        <v>56</v>
      </c>
      <c r="Q10" s="155" t="s">
        <v>434</v>
      </c>
      <c r="R10" s="144" t="s">
        <v>16</v>
      </c>
      <c r="S10" s="142" t="s">
        <v>56</v>
      </c>
      <c r="T10" s="141"/>
      <c r="U10" s="145"/>
      <c r="V10" s="145"/>
      <c r="W10" s="146"/>
    </row>
    <row r="11" spans="1:27" ht="125.1" customHeight="1">
      <c r="A11" s="190">
        <v>9</v>
      </c>
      <c r="B11" s="152">
        <v>46099</v>
      </c>
      <c r="C11" s="137">
        <f>IF(YEAR(Table13[[#This Row],[IMPLEMENTADO]])="","",YEAR(Table13[[#This Row],[IMPLEMENTADO]]))</f>
        <v>2026</v>
      </c>
      <c r="D11" s="138" t="str">
        <f>IF(Table13[[#This Row],[IMPLEMENTADO]]="","",TEXT(Table13[[#This Row],[IMPLEMENTADO]],"Mmm"))</f>
        <v>mar</v>
      </c>
      <c r="E11" s="137">
        <f>DAY(Table13[[#This Row],[IMPLEMENTADO]])</f>
        <v>19</v>
      </c>
      <c r="F11" s="149" t="s">
        <v>86</v>
      </c>
      <c r="G11" s="158" t="s">
        <v>87</v>
      </c>
      <c r="H11" s="141">
        <v>46100</v>
      </c>
      <c r="I11" s="142" t="s">
        <v>52</v>
      </c>
      <c r="J11" s="137" t="s">
        <v>77</v>
      </c>
      <c r="K11" s="137" t="s">
        <v>88</v>
      </c>
      <c r="L11" s="191">
        <v>5</v>
      </c>
      <c r="M11" s="142" t="s">
        <v>78</v>
      </c>
      <c r="N11" s="150" t="s">
        <v>89</v>
      </c>
      <c r="O11" s="153">
        <v>983</v>
      </c>
      <c r="P11" s="142" t="s">
        <v>56</v>
      </c>
      <c r="Q11" s="155" t="s">
        <v>415</v>
      </c>
      <c r="R11" s="144" t="s">
        <v>6</v>
      </c>
      <c r="S11" s="142" t="s">
        <v>56</v>
      </c>
      <c r="T11" s="141"/>
      <c r="U11" s="145"/>
      <c r="V11" s="145"/>
      <c r="W11" s="146"/>
    </row>
    <row r="12" spans="1:27" ht="77.45" customHeight="1">
      <c r="A12" s="190">
        <v>10</v>
      </c>
      <c r="B12" s="152">
        <v>46085</v>
      </c>
      <c r="C12" s="137">
        <f>IF(YEAR(Table13[[#This Row],[IMPLEMENTADO]])="","",YEAR(Table13[[#This Row],[IMPLEMENTADO]]))</f>
        <v>2026</v>
      </c>
      <c r="D12" s="138" t="str">
        <f>IF(Table13[[#This Row],[IMPLEMENTADO]]="","",TEXT(Table13[[#This Row],[IMPLEMENTADO]],"Mmm"))</f>
        <v>mar</v>
      </c>
      <c r="E12" s="137">
        <f>DAY(Table13[[#This Row],[IMPLEMENTADO]])</f>
        <v>26</v>
      </c>
      <c r="F12" s="149" t="s">
        <v>90</v>
      </c>
      <c r="G12" s="140" t="s">
        <v>91</v>
      </c>
      <c r="H12" s="141">
        <v>46107</v>
      </c>
      <c r="I12" s="137" t="s">
        <v>52</v>
      </c>
      <c r="J12" s="137" t="s">
        <v>53</v>
      </c>
      <c r="K12" s="137" t="s">
        <v>53</v>
      </c>
      <c r="L12" s="191">
        <v>1</v>
      </c>
      <c r="M12" s="142" t="s">
        <v>55</v>
      </c>
      <c r="N12" s="150" t="s">
        <v>92</v>
      </c>
      <c r="O12" s="153">
        <v>1121</v>
      </c>
      <c r="P12" s="142" t="s">
        <v>56</v>
      </c>
      <c r="Q12" s="144" t="s">
        <v>425</v>
      </c>
      <c r="R12" s="144" t="s">
        <v>3</v>
      </c>
      <c r="S12" s="142" t="s">
        <v>56</v>
      </c>
      <c r="T12" s="141"/>
      <c r="U12" s="145" t="s">
        <v>57</v>
      </c>
      <c r="V12" s="145"/>
      <c r="W12" s="167"/>
    </row>
    <row r="13" spans="1:27" ht="77.45" customHeight="1">
      <c r="A13" s="190">
        <v>11</v>
      </c>
      <c r="B13" s="152">
        <v>46057</v>
      </c>
      <c r="C13" s="137">
        <f>IF(YEAR(Table13[[#This Row],[IMPLEMENTADO]])="","",YEAR(Table13[[#This Row],[IMPLEMENTADO]]))</f>
        <v>2026</v>
      </c>
      <c r="D13" s="138" t="str">
        <f>IF(Table13[[#This Row],[IMPLEMENTADO]]="","",TEXT(Table13[[#This Row],[IMPLEMENTADO]],"Mmm"))</f>
        <v>mar</v>
      </c>
      <c r="E13" s="137">
        <f>DAY(Table13[[#This Row],[IMPLEMENTADO]])</f>
        <v>26</v>
      </c>
      <c r="F13" s="140" t="s">
        <v>93</v>
      </c>
      <c r="G13" s="149" t="s">
        <v>94</v>
      </c>
      <c r="H13" s="141">
        <v>46107</v>
      </c>
      <c r="I13" s="137" t="s">
        <v>52</v>
      </c>
      <c r="J13" s="137" t="s">
        <v>53</v>
      </c>
      <c r="K13" s="137" t="s">
        <v>53</v>
      </c>
      <c r="L13" s="191">
        <v>1</v>
      </c>
      <c r="M13" s="142" t="s">
        <v>55</v>
      </c>
      <c r="N13" s="150" t="s">
        <v>95</v>
      </c>
      <c r="O13" s="153">
        <v>1002</v>
      </c>
      <c r="P13" s="142" t="s">
        <v>56</v>
      </c>
      <c r="Q13" s="159" t="s">
        <v>16</v>
      </c>
      <c r="R13" s="144" t="s">
        <v>16</v>
      </c>
      <c r="S13" s="142" t="s">
        <v>56</v>
      </c>
      <c r="T13" s="141"/>
      <c r="U13" s="145"/>
      <c r="V13" s="145"/>
      <c r="W13" s="151"/>
    </row>
    <row r="14" spans="1:27" ht="125.1" customHeight="1">
      <c r="A14" s="190">
        <v>12</v>
      </c>
      <c r="B14" s="152">
        <v>46063</v>
      </c>
      <c r="C14" s="137">
        <f>IF(YEAR(Table13[[#This Row],[IMPLEMENTADO]])="","",YEAR(Table13[[#This Row],[IMPLEMENTADO]]))</f>
        <v>2026</v>
      </c>
      <c r="D14" s="138" t="str">
        <f>IF(Table13[[#This Row],[IMPLEMENTADO]]="","",TEXT(Table13[[#This Row],[IMPLEMENTADO]],"Mmm"))</f>
        <v>abr</v>
      </c>
      <c r="E14" s="137">
        <f>DAY(Table13[[#This Row],[IMPLEMENTADO]])</f>
        <v>2</v>
      </c>
      <c r="F14" s="149" t="s">
        <v>388</v>
      </c>
      <c r="G14" s="149" t="s">
        <v>97</v>
      </c>
      <c r="H14" s="141">
        <v>46114</v>
      </c>
      <c r="I14" s="137" t="s">
        <v>52</v>
      </c>
      <c r="J14" s="137" t="s">
        <v>98</v>
      </c>
      <c r="K14" s="137" t="s">
        <v>98</v>
      </c>
      <c r="L14" s="191">
        <v>3</v>
      </c>
      <c r="M14" s="142" t="s">
        <v>78</v>
      </c>
      <c r="N14" s="204"/>
      <c r="O14" s="153" t="s">
        <v>394</v>
      </c>
      <c r="P14" s="142" t="s">
        <v>56</v>
      </c>
      <c r="Q14" s="144" t="s">
        <v>437</v>
      </c>
      <c r="R14" s="144" t="s">
        <v>0</v>
      </c>
      <c r="S14" s="142" t="s">
        <v>56</v>
      </c>
      <c r="T14" s="141"/>
      <c r="U14" s="145"/>
      <c r="V14" s="145"/>
      <c r="W14" s="151"/>
    </row>
    <row r="15" spans="1:27" ht="77.45" customHeight="1">
      <c r="A15" s="190">
        <v>13</v>
      </c>
      <c r="B15" s="152">
        <v>46115</v>
      </c>
      <c r="C15" s="137">
        <f>IF(YEAR(Table13[[#This Row],[IMPLEMENTADO]])="","",YEAR(Table13[[#This Row],[IMPLEMENTADO]]))</f>
        <v>2026</v>
      </c>
      <c r="D15" s="138" t="str">
        <f>IF(Table13[[#This Row],[IMPLEMENTADO]]="","",TEXT(Table13[[#This Row],[IMPLEMENTADO]],"Mmm"))</f>
        <v>abr</v>
      </c>
      <c r="E15" s="137">
        <f>DAY(Table13[[#This Row],[IMPLEMENTADO]])</f>
        <v>3</v>
      </c>
      <c r="F15" s="140" t="s">
        <v>99</v>
      </c>
      <c r="G15" s="139" t="s">
        <v>100</v>
      </c>
      <c r="H15" s="141">
        <v>46115</v>
      </c>
      <c r="I15" s="142" t="s">
        <v>52</v>
      </c>
      <c r="J15" s="142" t="s">
        <v>53</v>
      </c>
      <c r="K15" s="142" t="s">
        <v>60</v>
      </c>
      <c r="L15" s="192">
        <v>1</v>
      </c>
      <c r="M15" s="142" t="s">
        <v>55</v>
      </c>
      <c r="N15" s="162" t="s">
        <v>101</v>
      </c>
      <c r="O15" s="153">
        <v>1010</v>
      </c>
      <c r="P15" s="142" t="s">
        <v>56</v>
      </c>
      <c r="Q15" s="155" t="s">
        <v>16</v>
      </c>
      <c r="R15" s="144" t="s">
        <v>16</v>
      </c>
      <c r="S15" s="142" t="s">
        <v>56</v>
      </c>
      <c r="T15" s="141"/>
      <c r="U15" s="145"/>
      <c r="V15" s="145"/>
      <c r="W15" s="146"/>
    </row>
    <row r="16" spans="1:27" ht="77.45" customHeight="1">
      <c r="A16" s="190">
        <v>14</v>
      </c>
      <c r="B16" s="152">
        <v>46113</v>
      </c>
      <c r="C16" s="137">
        <f>IF(YEAR(Table13[[#This Row],[IMPLEMENTADO]])="","",YEAR(Table13[[#This Row],[IMPLEMENTADO]]))</f>
        <v>2026</v>
      </c>
      <c r="D16" s="138" t="str">
        <f>IF(Table13[[#This Row],[IMPLEMENTADO]]="","",TEXT(Table13[[#This Row],[IMPLEMENTADO]],"Mmm"))</f>
        <v>abr</v>
      </c>
      <c r="E16" s="137">
        <f>DAY(Table13[[#This Row],[IMPLEMENTADO]])</f>
        <v>4</v>
      </c>
      <c r="F16" s="149" t="s">
        <v>102</v>
      </c>
      <c r="G16" s="139" t="s">
        <v>103</v>
      </c>
      <c r="H16" s="141">
        <v>46116</v>
      </c>
      <c r="I16" s="142" t="s">
        <v>52</v>
      </c>
      <c r="J16" s="142" t="s">
        <v>53</v>
      </c>
      <c r="K16" s="142" t="s">
        <v>60</v>
      </c>
      <c r="L16" s="192">
        <v>1</v>
      </c>
      <c r="M16" s="142" t="s">
        <v>55</v>
      </c>
      <c r="N16" s="162" t="s">
        <v>104</v>
      </c>
      <c r="O16" s="153">
        <v>1009</v>
      </c>
      <c r="P16" s="142" t="s">
        <v>56</v>
      </c>
      <c r="Q16" s="155" t="s">
        <v>16</v>
      </c>
      <c r="R16" s="144" t="s">
        <v>16</v>
      </c>
      <c r="S16" s="142" t="s">
        <v>56</v>
      </c>
      <c r="T16" s="141"/>
      <c r="U16" s="145"/>
      <c r="V16" s="145"/>
      <c r="W16" s="146"/>
    </row>
    <row r="17" spans="1:26" ht="77.45" customHeight="1">
      <c r="A17" s="190">
        <v>15</v>
      </c>
      <c r="B17" s="152">
        <v>46129</v>
      </c>
      <c r="C17" s="137">
        <f>IF(YEAR(Table13[[#This Row],[IMPLEMENTADO]])="","",YEAR(Table13[[#This Row],[IMPLEMENTADO]]))</f>
        <v>2026</v>
      </c>
      <c r="D17" s="138" t="str">
        <f>IF(Table13[[#This Row],[IMPLEMENTADO]]="","",TEXT(Table13[[#This Row],[IMPLEMENTADO]],"Mmm"))</f>
        <v>abr</v>
      </c>
      <c r="E17" s="137">
        <f>DAY(Table13[[#This Row],[IMPLEMENTADO]])</f>
        <v>17</v>
      </c>
      <c r="F17" s="149" t="s">
        <v>105</v>
      </c>
      <c r="G17" s="139" t="s">
        <v>106</v>
      </c>
      <c r="H17" s="141">
        <v>46129</v>
      </c>
      <c r="I17" s="142" t="s">
        <v>52</v>
      </c>
      <c r="J17" s="142" t="s">
        <v>53</v>
      </c>
      <c r="K17" s="142" t="s">
        <v>60</v>
      </c>
      <c r="L17" s="192">
        <v>1</v>
      </c>
      <c r="M17" s="142" t="s">
        <v>55</v>
      </c>
      <c r="N17" s="162" t="s">
        <v>107</v>
      </c>
      <c r="O17" s="153" t="s">
        <v>389</v>
      </c>
      <c r="P17" s="142" t="s">
        <v>56</v>
      </c>
      <c r="Q17" s="155" t="s">
        <v>435</v>
      </c>
      <c r="R17" s="144" t="s">
        <v>16</v>
      </c>
      <c r="S17" s="142" t="s">
        <v>56</v>
      </c>
      <c r="T17" s="141"/>
      <c r="U17" s="145"/>
      <c r="V17" s="145"/>
      <c r="W17" s="160"/>
    </row>
    <row r="18" spans="1:26" ht="77.45" customHeight="1">
      <c r="A18" s="190">
        <v>16</v>
      </c>
      <c r="B18" s="152">
        <v>46146</v>
      </c>
      <c r="C18" s="137">
        <f>IF(YEAR(Table13[[#This Row],[IMPLEMENTADO]])="","",YEAR(Table13[[#This Row],[IMPLEMENTADO]]))</f>
        <v>2026</v>
      </c>
      <c r="D18" s="138" t="str">
        <f>IF(Table13[[#This Row],[IMPLEMENTADO]]="","",TEXT(Table13[[#This Row],[IMPLEMENTADO]],"Mmm"))</f>
        <v>may</v>
      </c>
      <c r="E18" s="137">
        <f>DAY(Table13[[#This Row],[IMPLEMENTADO]])</f>
        <v>4</v>
      </c>
      <c r="F18" s="140" t="s">
        <v>108</v>
      </c>
      <c r="G18" s="158" t="s">
        <v>109</v>
      </c>
      <c r="H18" s="141">
        <v>46146</v>
      </c>
      <c r="I18" s="142" t="s">
        <v>52</v>
      </c>
      <c r="J18" s="142" t="s">
        <v>53</v>
      </c>
      <c r="K18" s="142" t="s">
        <v>60</v>
      </c>
      <c r="L18" s="192">
        <v>1</v>
      </c>
      <c r="M18" s="142" t="s">
        <v>55</v>
      </c>
      <c r="N18" s="162" t="s">
        <v>110</v>
      </c>
      <c r="O18" s="153">
        <v>1091</v>
      </c>
      <c r="P18" s="142" t="s">
        <v>56</v>
      </c>
      <c r="Q18" s="155" t="s">
        <v>436</v>
      </c>
      <c r="R18" s="144" t="s">
        <v>16</v>
      </c>
      <c r="S18" s="142" t="s">
        <v>56</v>
      </c>
      <c r="T18" s="141"/>
      <c r="U18" s="145"/>
      <c r="V18" s="145"/>
      <c r="W18" s="146"/>
    </row>
    <row r="19" spans="1:26" ht="77.45" customHeight="1">
      <c r="A19" s="190">
        <v>17</v>
      </c>
      <c r="B19" s="152">
        <v>46174</v>
      </c>
      <c r="C19" s="137">
        <f>IF(YEAR(Table13[[#This Row],[IMPLEMENTADO]])="","",YEAR(Table13[[#This Row],[IMPLEMENTADO]]))</f>
        <v>2026</v>
      </c>
      <c r="D19" s="138" t="str">
        <f>IF(Table13[[#This Row],[IMPLEMENTADO]]="","",TEXT(Table13[[#This Row],[IMPLEMENTADO]],"Mmm"))</f>
        <v>jun</v>
      </c>
      <c r="E19" s="137">
        <f>DAY(Table13[[#This Row],[IMPLEMENTADO]])</f>
        <v>2</v>
      </c>
      <c r="F19" s="139" t="s">
        <v>111</v>
      </c>
      <c r="G19" s="139" t="s">
        <v>112</v>
      </c>
      <c r="H19" s="141">
        <v>46175</v>
      </c>
      <c r="I19" s="142" t="s">
        <v>52</v>
      </c>
      <c r="J19" s="142" t="s">
        <v>77</v>
      </c>
      <c r="K19" s="142" t="s">
        <v>113</v>
      </c>
      <c r="L19" s="192">
        <v>5</v>
      </c>
      <c r="M19" s="142" t="s">
        <v>55</v>
      </c>
      <c r="N19" s="150" t="s">
        <v>114</v>
      </c>
      <c r="O19" s="153">
        <v>1118</v>
      </c>
      <c r="P19" s="142" t="s">
        <v>56</v>
      </c>
      <c r="Q19" s="159" t="s">
        <v>115</v>
      </c>
      <c r="R19" s="144" t="s">
        <v>4</v>
      </c>
      <c r="S19" s="142" t="s">
        <v>56</v>
      </c>
      <c r="T19" s="141"/>
      <c r="U19" s="145"/>
      <c r="V19" s="145"/>
      <c r="W19" s="154"/>
    </row>
    <row r="20" spans="1:26" ht="77.45" customHeight="1">
      <c r="A20" s="190">
        <v>18</v>
      </c>
      <c r="B20" s="152">
        <v>46178</v>
      </c>
      <c r="C20" s="137">
        <f>IF(YEAR(Table13[[#This Row],[IMPLEMENTADO]])="","",YEAR(Table13[[#This Row],[IMPLEMENTADO]]))</f>
        <v>2026</v>
      </c>
      <c r="D20" s="138" t="str">
        <f>IF(Table13[[#This Row],[IMPLEMENTADO]]="","",TEXT(Table13[[#This Row],[IMPLEMENTADO]],"Mmm"))</f>
        <v>jun</v>
      </c>
      <c r="E20" s="137">
        <f>DAY(Table13[[#This Row],[IMPLEMENTADO]])</f>
        <v>8</v>
      </c>
      <c r="F20" s="139" t="s">
        <v>116</v>
      </c>
      <c r="G20" s="139" t="s">
        <v>117</v>
      </c>
      <c r="H20" s="141">
        <v>46181</v>
      </c>
      <c r="I20" s="142" t="s">
        <v>52</v>
      </c>
      <c r="J20" s="142" t="s">
        <v>113</v>
      </c>
      <c r="K20" s="142" t="s">
        <v>113</v>
      </c>
      <c r="L20" s="192">
        <v>6</v>
      </c>
      <c r="M20" s="142" t="s">
        <v>55</v>
      </c>
      <c r="N20" s="150" t="s">
        <v>118</v>
      </c>
      <c r="O20" s="153">
        <v>1117</v>
      </c>
      <c r="P20" s="142" t="s">
        <v>56</v>
      </c>
      <c r="Q20" s="159" t="s">
        <v>115</v>
      </c>
      <c r="R20" s="144" t="s">
        <v>0</v>
      </c>
      <c r="S20" s="142" t="s">
        <v>56</v>
      </c>
      <c r="T20" s="141"/>
      <c r="U20" s="145"/>
      <c r="V20" s="145"/>
      <c r="W20" s="167"/>
      <c r="X20" s="148"/>
      <c r="Y20" s="148"/>
    </row>
    <row r="21" spans="1:26" ht="77.45" customHeight="1">
      <c r="A21" s="190">
        <v>19</v>
      </c>
      <c r="B21" s="152">
        <v>46177</v>
      </c>
      <c r="C21" s="137">
        <f>IF(YEAR(Table13[[#This Row],[IMPLEMENTADO]])="","",YEAR(Table13[[#This Row],[IMPLEMENTADO]]))</f>
        <v>2026</v>
      </c>
      <c r="D21" s="138" t="str">
        <f>IF(Table13[[#This Row],[IMPLEMENTADO]]="","",TEXT(Table13[[#This Row],[IMPLEMENTADO]],"Mmm"))</f>
        <v>jun</v>
      </c>
      <c r="E21" s="137">
        <f>DAY(Table13[[#This Row],[IMPLEMENTADO]])</f>
        <v>10</v>
      </c>
      <c r="F21" s="140" t="s">
        <v>119</v>
      </c>
      <c r="G21" s="149" t="s">
        <v>120</v>
      </c>
      <c r="H21" s="141">
        <v>46183</v>
      </c>
      <c r="I21" s="137" t="s">
        <v>52</v>
      </c>
      <c r="J21" s="137" t="s">
        <v>77</v>
      </c>
      <c r="K21" s="137" t="s">
        <v>121</v>
      </c>
      <c r="L21" s="192">
        <v>5</v>
      </c>
      <c r="M21" s="142" t="s">
        <v>78</v>
      </c>
      <c r="N21" s="150" t="s">
        <v>122</v>
      </c>
      <c r="O21" s="153">
        <v>1145</v>
      </c>
      <c r="P21" s="142" t="s">
        <v>56</v>
      </c>
      <c r="Q21" s="144" t="s">
        <v>427</v>
      </c>
      <c r="R21" s="144" t="s">
        <v>4</v>
      </c>
      <c r="S21" s="142" t="s">
        <v>56</v>
      </c>
      <c r="T21" s="141"/>
      <c r="U21" s="145"/>
      <c r="V21" s="145"/>
      <c r="W21" s="160"/>
      <c r="X21" s="148"/>
      <c r="Y21" s="148"/>
    </row>
    <row r="22" spans="1:26" ht="77.45" customHeight="1">
      <c r="A22" s="190">
        <v>20</v>
      </c>
      <c r="B22" s="166">
        <v>46177</v>
      </c>
      <c r="C22" s="137">
        <f>IF(YEAR(Table13[[#This Row],[IMPLEMENTADO]])="","",YEAR(Table13[[#This Row],[IMPLEMENTADO]]))</f>
        <v>2026</v>
      </c>
      <c r="D22" s="138" t="str">
        <f>IF(Table13[[#This Row],[IMPLEMENTADO]]="","",TEXT(Table13[[#This Row],[IMPLEMENTADO]],"Mmm"))</f>
        <v>jun</v>
      </c>
      <c r="E22" s="137">
        <f>DAY(Table13[[#This Row],[IMPLEMENTADO]])</f>
        <v>10</v>
      </c>
      <c r="F22" s="140" t="s">
        <v>123</v>
      </c>
      <c r="G22" s="140" t="s">
        <v>124</v>
      </c>
      <c r="H22" s="141">
        <v>46183</v>
      </c>
      <c r="I22" s="137" t="s">
        <v>52</v>
      </c>
      <c r="J22" s="137" t="s">
        <v>125</v>
      </c>
      <c r="K22" s="169" t="s">
        <v>126</v>
      </c>
      <c r="L22" s="194">
        <v>2</v>
      </c>
      <c r="M22" s="142" t="s">
        <v>55</v>
      </c>
      <c r="N22" s="150" t="s">
        <v>127</v>
      </c>
      <c r="O22" s="153">
        <v>1181</v>
      </c>
      <c r="P22" s="142" t="s">
        <v>56</v>
      </c>
      <c r="Q22" s="144" t="s">
        <v>414</v>
      </c>
      <c r="R22" s="144" t="s">
        <v>10</v>
      </c>
      <c r="S22" s="142" t="s">
        <v>56</v>
      </c>
      <c r="T22" s="141"/>
      <c r="U22" s="145"/>
      <c r="V22" s="145"/>
      <c r="W22" s="154"/>
      <c r="X22" s="148"/>
      <c r="Y22" s="148"/>
    </row>
    <row r="23" spans="1:26" s="148" customFormat="1" ht="77.45" customHeight="1">
      <c r="A23" s="190">
        <v>21</v>
      </c>
      <c r="B23" s="152">
        <v>46174</v>
      </c>
      <c r="C23" s="137">
        <f>IF(YEAR(Table13[[#This Row],[IMPLEMENTADO]])="","",YEAR(Table13[[#This Row],[IMPLEMENTADO]]))</f>
        <v>2026</v>
      </c>
      <c r="D23" s="138" t="str">
        <f>IF(Table13[[#This Row],[IMPLEMENTADO]]="","",TEXT(Table13[[#This Row],[IMPLEMENTADO]],"Mmm"))</f>
        <v>jun</v>
      </c>
      <c r="E23" s="137">
        <f>DAY(Table13[[#This Row],[IMPLEMENTADO]])</f>
        <v>12</v>
      </c>
      <c r="F23" s="140" t="s">
        <v>128</v>
      </c>
      <c r="G23" s="140" t="s">
        <v>129</v>
      </c>
      <c r="H23" s="141">
        <v>46185</v>
      </c>
      <c r="I23" s="137" t="s">
        <v>52</v>
      </c>
      <c r="J23" s="137" t="s">
        <v>77</v>
      </c>
      <c r="K23" s="137" t="s">
        <v>130</v>
      </c>
      <c r="L23" s="191">
        <v>5</v>
      </c>
      <c r="M23" s="142" t="s">
        <v>55</v>
      </c>
      <c r="N23" s="150" t="s">
        <v>131</v>
      </c>
      <c r="O23" s="153">
        <v>1116</v>
      </c>
      <c r="P23" s="142" t="s">
        <v>56</v>
      </c>
      <c r="Q23" s="144" t="s">
        <v>419</v>
      </c>
      <c r="R23" s="144" t="s">
        <v>0</v>
      </c>
      <c r="S23" s="142" t="s">
        <v>56</v>
      </c>
      <c r="T23" s="141"/>
      <c r="U23" s="145"/>
      <c r="V23" s="145"/>
      <c r="W23" s="160"/>
    </row>
    <row r="24" spans="1:26" ht="77.45" customHeight="1">
      <c r="A24" s="190">
        <v>22</v>
      </c>
      <c r="B24" s="166">
        <v>46055</v>
      </c>
      <c r="C24" s="137">
        <f>IF(YEAR(Table13[[#This Row],[IMPLEMENTADO]])="","",YEAR(Table13[[#This Row],[IMPLEMENTADO]]))</f>
        <v>2026</v>
      </c>
      <c r="D24" s="138" t="str">
        <f>IF(Table13[[#This Row],[IMPLEMENTADO]]="","",TEXT(Table13[[#This Row],[IMPLEMENTADO]],"Mmm"))</f>
        <v>jun</v>
      </c>
      <c r="E24" s="137">
        <f>DAY(Table13[[#This Row],[IMPLEMENTADO]])</f>
        <v>29</v>
      </c>
      <c r="F24" s="149" t="s">
        <v>132</v>
      </c>
      <c r="G24" s="140" t="s">
        <v>133</v>
      </c>
      <c r="H24" s="141">
        <v>46202</v>
      </c>
      <c r="I24" s="137" t="s">
        <v>52</v>
      </c>
      <c r="J24" s="137" t="s">
        <v>64</v>
      </c>
      <c r="K24" s="137" t="s">
        <v>65</v>
      </c>
      <c r="L24" s="194">
        <v>2</v>
      </c>
      <c r="M24" s="142" t="s">
        <v>55</v>
      </c>
      <c r="N24" s="150" t="s">
        <v>134</v>
      </c>
      <c r="O24" s="153">
        <v>1122</v>
      </c>
      <c r="P24" s="142" t="s">
        <v>56</v>
      </c>
      <c r="Q24" s="144" t="s">
        <v>432</v>
      </c>
      <c r="R24" s="144" t="s">
        <v>1</v>
      </c>
      <c r="S24" s="142" t="s">
        <v>56</v>
      </c>
      <c r="T24" s="141"/>
      <c r="U24" s="145"/>
      <c r="V24" s="145"/>
      <c r="W24" s="151"/>
      <c r="X24" s="148"/>
      <c r="Y24" s="148"/>
      <c r="Z24" s="148"/>
    </row>
    <row r="25" spans="1:26" ht="77.45" customHeight="1">
      <c r="A25" s="190">
        <v>23</v>
      </c>
      <c r="B25" s="166">
        <v>46209</v>
      </c>
      <c r="C25" s="137">
        <f>IF(YEAR(Table13[[#This Row],[IMPLEMENTADO]])="","",YEAR(Table13[[#This Row],[IMPLEMENTADO]]))</f>
        <v>2026</v>
      </c>
      <c r="D25" s="138" t="str">
        <f>IF(Table13[[#This Row],[IMPLEMENTADO]]="","",TEXT(Table13[[#This Row],[IMPLEMENTADO]],"Mmm"))</f>
        <v>jul</v>
      </c>
      <c r="E25" s="137">
        <f>DAY(Table13[[#This Row],[IMPLEMENTADO]])</f>
        <v>6</v>
      </c>
      <c r="F25" s="149" t="s">
        <v>135</v>
      </c>
      <c r="G25" s="140" t="s">
        <v>136</v>
      </c>
      <c r="H25" s="141">
        <v>46209</v>
      </c>
      <c r="I25" s="142" t="s">
        <v>52</v>
      </c>
      <c r="J25" s="142" t="s">
        <v>125</v>
      </c>
      <c r="K25" s="142" t="s">
        <v>137</v>
      </c>
      <c r="L25" s="194">
        <v>2</v>
      </c>
      <c r="M25" s="142" t="s">
        <v>55</v>
      </c>
      <c r="N25" s="150" t="s">
        <v>138</v>
      </c>
      <c r="O25" s="153">
        <v>1175</v>
      </c>
      <c r="P25" s="142" t="s">
        <v>56</v>
      </c>
      <c r="Q25" s="161" t="s">
        <v>3</v>
      </c>
      <c r="R25" s="144" t="s">
        <v>12</v>
      </c>
      <c r="S25" s="142" t="s">
        <v>56</v>
      </c>
      <c r="T25" s="141"/>
      <c r="U25" s="145"/>
      <c r="V25" s="145"/>
      <c r="W25" s="146"/>
      <c r="X25" s="148"/>
      <c r="Y25" s="148"/>
      <c r="Z25" s="148"/>
    </row>
    <row r="26" spans="1:26" ht="77.45" customHeight="1">
      <c r="A26" s="190">
        <v>24</v>
      </c>
      <c r="B26" s="166">
        <v>46213</v>
      </c>
      <c r="C26" s="137">
        <f>IF(YEAR(Table13[[#This Row],[IMPLEMENTADO]])="","",YEAR(Table13[[#This Row],[IMPLEMENTADO]]))</f>
        <v>2026</v>
      </c>
      <c r="D26" s="138" t="str">
        <f>IF(Table13[[#This Row],[IMPLEMENTADO]]="","",TEXT(Table13[[#This Row],[IMPLEMENTADO]],"Mmm"))</f>
        <v>jul</v>
      </c>
      <c r="E26" s="137">
        <f>DAY(Table13[[#This Row],[IMPLEMENTADO]])</f>
        <v>10</v>
      </c>
      <c r="F26" s="149" t="s">
        <v>139</v>
      </c>
      <c r="G26" s="140" t="s">
        <v>140</v>
      </c>
      <c r="H26" s="141">
        <v>46213</v>
      </c>
      <c r="I26" s="137" t="s">
        <v>52</v>
      </c>
      <c r="J26" s="137" t="s">
        <v>53</v>
      </c>
      <c r="K26" s="137" t="s">
        <v>141</v>
      </c>
      <c r="L26" s="192">
        <v>1</v>
      </c>
      <c r="M26" s="142" t="s">
        <v>55</v>
      </c>
      <c r="N26" s="150" t="s">
        <v>142</v>
      </c>
      <c r="O26" s="153">
        <v>1158</v>
      </c>
      <c r="P26" s="142" t="s">
        <v>56</v>
      </c>
      <c r="Q26" s="170" t="s">
        <v>16</v>
      </c>
      <c r="R26" s="170" t="s">
        <v>16</v>
      </c>
      <c r="S26" s="142" t="s">
        <v>56</v>
      </c>
      <c r="T26" s="141"/>
      <c r="U26" s="145"/>
      <c r="V26" s="145"/>
      <c r="W26" s="146"/>
      <c r="X26" s="148"/>
      <c r="Y26" s="148"/>
      <c r="Z26" s="148"/>
    </row>
    <row r="27" spans="1:26" ht="77.45" customHeight="1">
      <c r="A27" s="190">
        <v>25</v>
      </c>
      <c r="B27" s="166">
        <v>46223</v>
      </c>
      <c r="C27" s="137">
        <f>IF(YEAR(Table13[[#This Row],[IMPLEMENTADO]])="","",YEAR(Table13[[#This Row],[IMPLEMENTADO]]))</f>
        <v>2026</v>
      </c>
      <c r="D27" s="168" t="str">
        <f>IF(Table13[[#This Row],[IMPLEMENTADO]]="","",TEXT(Table13[[#This Row],[IMPLEMENTADO]],"Mmm"))</f>
        <v>jul</v>
      </c>
      <c r="E27" s="137">
        <f>DAY(Table13[[#This Row],[IMPLEMENTADO]])</f>
        <v>20</v>
      </c>
      <c r="F27" s="149" t="s">
        <v>143</v>
      </c>
      <c r="G27" s="149" t="s">
        <v>144</v>
      </c>
      <c r="H27" s="141">
        <v>46223</v>
      </c>
      <c r="I27" s="137" t="s">
        <v>52</v>
      </c>
      <c r="J27" s="137" t="s">
        <v>77</v>
      </c>
      <c r="K27" s="137" t="s">
        <v>130</v>
      </c>
      <c r="L27" s="191">
        <v>5</v>
      </c>
      <c r="M27" s="142" t="s">
        <v>55</v>
      </c>
      <c r="N27" s="150" t="s">
        <v>145</v>
      </c>
      <c r="O27" s="153">
        <v>1178</v>
      </c>
      <c r="P27" s="142" t="s">
        <v>56</v>
      </c>
      <c r="Q27" s="144" t="s">
        <v>428</v>
      </c>
      <c r="R27" s="144" t="s">
        <v>0</v>
      </c>
      <c r="S27" s="142" t="s">
        <v>56</v>
      </c>
      <c r="T27" s="141"/>
      <c r="U27" s="145"/>
      <c r="V27" s="145"/>
      <c r="W27" s="154"/>
      <c r="X27" s="148"/>
      <c r="Y27" s="148"/>
    </row>
    <row r="28" spans="1:26" ht="77.45" customHeight="1">
      <c r="A28" s="190">
        <v>26</v>
      </c>
      <c r="B28" s="166">
        <v>46223</v>
      </c>
      <c r="C28" s="137">
        <f>IF(YEAR(Table13[[#This Row],[IMPLEMENTADO]])="","",YEAR(Table13[[#This Row],[IMPLEMENTADO]]))</f>
        <v>2026</v>
      </c>
      <c r="D28" s="138" t="str">
        <f>IF(Table13[[#This Row],[IMPLEMENTADO]]="","",TEXT(Table13[[#This Row],[IMPLEMENTADO]],"Mmm"))</f>
        <v>jul</v>
      </c>
      <c r="E28" s="137">
        <f>DAY(Table13[[#This Row],[IMPLEMENTADO]])</f>
        <v>20</v>
      </c>
      <c r="F28" s="140" t="s">
        <v>146</v>
      </c>
      <c r="G28" s="140" t="s">
        <v>147</v>
      </c>
      <c r="H28" s="141">
        <v>46223</v>
      </c>
      <c r="I28" s="137" t="s">
        <v>52</v>
      </c>
      <c r="J28" s="137" t="s">
        <v>125</v>
      </c>
      <c r="K28" s="137" t="s">
        <v>125</v>
      </c>
      <c r="L28" s="194">
        <v>2</v>
      </c>
      <c r="M28" s="142" t="s">
        <v>55</v>
      </c>
      <c r="N28" s="150" t="s">
        <v>148</v>
      </c>
      <c r="O28" s="153">
        <v>1176</v>
      </c>
      <c r="P28" s="142" t="s">
        <v>56</v>
      </c>
      <c r="Q28" s="161" t="s">
        <v>12</v>
      </c>
      <c r="R28" s="161" t="s">
        <v>12</v>
      </c>
      <c r="S28" s="142" t="s">
        <v>56</v>
      </c>
      <c r="T28" s="141"/>
      <c r="U28" s="145"/>
      <c r="V28" s="145"/>
      <c r="W28" s="151"/>
      <c r="X28" s="148"/>
      <c r="Y28" s="148"/>
      <c r="Z28" s="148"/>
    </row>
    <row r="29" spans="1:26" ht="77.45" customHeight="1">
      <c r="A29" s="190">
        <v>27</v>
      </c>
      <c r="B29" s="166">
        <v>46223</v>
      </c>
      <c r="C29" s="163">
        <f>IF(YEAR(Table13[[#This Row],[IMPLEMENTADO]])="","",YEAR(Table13[[#This Row],[IMPLEMENTADO]]))</f>
        <v>2026</v>
      </c>
      <c r="D29" s="138" t="str">
        <f>IF(Table13[[#This Row],[IMPLEMENTADO]]="","",TEXT(Table13[[#This Row],[IMPLEMENTADO]],"Mmm"))</f>
        <v>jul</v>
      </c>
      <c r="E29" s="163">
        <f>DAY(Table13[[#This Row],[IMPLEMENTADO]])</f>
        <v>20</v>
      </c>
      <c r="F29" s="149" t="s">
        <v>150</v>
      </c>
      <c r="G29" s="158" t="s">
        <v>151</v>
      </c>
      <c r="H29" s="141">
        <v>46223</v>
      </c>
      <c r="I29" s="142" t="s">
        <v>52</v>
      </c>
      <c r="J29" s="142" t="s">
        <v>125</v>
      </c>
      <c r="K29" s="142" t="s">
        <v>137</v>
      </c>
      <c r="L29" s="194">
        <v>2</v>
      </c>
      <c r="M29" s="142" t="s">
        <v>55</v>
      </c>
      <c r="N29" s="187" t="s">
        <v>152</v>
      </c>
      <c r="O29" s="153">
        <v>1177</v>
      </c>
      <c r="P29" s="142" t="s">
        <v>56</v>
      </c>
      <c r="Q29" s="161" t="s">
        <v>11</v>
      </c>
      <c r="R29" s="144" t="s">
        <v>11</v>
      </c>
      <c r="S29" s="142" t="s">
        <v>56</v>
      </c>
      <c r="T29" s="141"/>
      <c r="U29" s="145"/>
      <c r="V29" s="145"/>
      <c r="W29" s="151"/>
      <c r="X29" s="148"/>
      <c r="Y29" s="148"/>
    </row>
    <row r="30" spans="1:26" ht="77.45" customHeight="1">
      <c r="A30" s="190">
        <v>28</v>
      </c>
      <c r="B30" s="166">
        <v>46224</v>
      </c>
      <c r="C30" s="137">
        <f>IF(YEAR(Table13[[#This Row],[IMPLEMENTADO]])="","",YEAR(Table13[[#This Row],[IMPLEMENTADO]]))</f>
        <v>2026</v>
      </c>
      <c r="D30" s="138" t="str">
        <f>IF(Table13[[#This Row],[IMPLEMENTADO]]="","",TEXT(Table13[[#This Row],[IMPLEMENTADO]],"Mmm"))</f>
        <v>jul</v>
      </c>
      <c r="E30" s="137">
        <f>DAY(Table13[[#This Row],[IMPLEMENTADO]])</f>
        <v>21</v>
      </c>
      <c r="F30" s="149" t="s">
        <v>154</v>
      </c>
      <c r="G30" s="158" t="s">
        <v>155</v>
      </c>
      <c r="H30" s="141">
        <v>46224</v>
      </c>
      <c r="I30" s="142" t="s">
        <v>52</v>
      </c>
      <c r="J30" s="137" t="s">
        <v>77</v>
      </c>
      <c r="K30" s="137" t="s">
        <v>156</v>
      </c>
      <c r="L30" s="191">
        <v>4</v>
      </c>
      <c r="M30" s="142" t="s">
        <v>55</v>
      </c>
      <c r="N30" s="150" t="s">
        <v>157</v>
      </c>
      <c r="O30" s="153">
        <v>1179</v>
      </c>
      <c r="P30" s="142" t="s">
        <v>56</v>
      </c>
      <c r="Q30" s="159" t="s">
        <v>115</v>
      </c>
      <c r="R30" s="144" t="s">
        <v>3</v>
      </c>
      <c r="S30" s="142" t="s">
        <v>56</v>
      </c>
      <c r="T30" s="141"/>
      <c r="U30" s="145"/>
      <c r="V30" s="145"/>
      <c r="W30" s="146"/>
      <c r="X30" s="148"/>
      <c r="Y30" s="148"/>
    </row>
    <row r="31" spans="1:26" ht="77.45" customHeight="1">
      <c r="A31" s="190">
        <v>29</v>
      </c>
      <c r="B31" s="166">
        <v>46224</v>
      </c>
      <c r="C31" s="137">
        <f>IF(YEAR(Table13[[#This Row],[IMPLEMENTADO]])="","",YEAR(Table13[[#This Row],[IMPLEMENTADO]]))</f>
        <v>2026</v>
      </c>
      <c r="D31" s="138" t="str">
        <f>IF(Table13[[#This Row],[IMPLEMENTADO]]="","",TEXT(Table13[[#This Row],[IMPLEMENTADO]],"Mmm"))</f>
        <v>jul</v>
      </c>
      <c r="E31" s="137">
        <f>DAY(Table13[[#This Row],[IMPLEMENTADO]])</f>
        <v>21</v>
      </c>
      <c r="F31" s="139" t="s">
        <v>158</v>
      </c>
      <c r="G31" s="139" t="s">
        <v>159</v>
      </c>
      <c r="H31" s="141">
        <v>46224</v>
      </c>
      <c r="I31" s="137" t="s">
        <v>52</v>
      </c>
      <c r="J31" s="137" t="s">
        <v>160</v>
      </c>
      <c r="K31" s="137" t="s">
        <v>156</v>
      </c>
      <c r="L31" s="191">
        <v>4</v>
      </c>
      <c r="M31" s="142" t="s">
        <v>55</v>
      </c>
      <c r="N31" s="150" t="s">
        <v>161</v>
      </c>
      <c r="O31" s="153">
        <v>1180</v>
      </c>
      <c r="P31" s="142" t="s">
        <v>56</v>
      </c>
      <c r="Q31" s="161" t="s">
        <v>3</v>
      </c>
      <c r="R31" s="144" t="s">
        <v>3</v>
      </c>
      <c r="S31" s="142" t="s">
        <v>56</v>
      </c>
      <c r="T31" s="141"/>
      <c r="U31" s="145"/>
      <c r="V31" s="145"/>
      <c r="W31" s="151"/>
      <c r="X31" s="148"/>
      <c r="Y31" s="148"/>
    </row>
    <row r="32" spans="1:26" ht="77.45" customHeight="1">
      <c r="A32" s="190">
        <v>30</v>
      </c>
      <c r="B32" s="166">
        <v>46224</v>
      </c>
      <c r="C32" s="137">
        <f>IF(YEAR(Table13[[#This Row],[IMPLEMENTADO]])="","",YEAR(Table13[[#This Row],[IMPLEMENTADO]]))</f>
        <v>2026</v>
      </c>
      <c r="D32" s="138" t="str">
        <f>IF(Table13[[#This Row],[IMPLEMENTADO]]="","",TEXT(Table13[[#This Row],[IMPLEMENTADO]],"Mmm"))</f>
        <v>ago</v>
      </c>
      <c r="E32" s="137">
        <f>DAY(Table13[[#This Row],[IMPLEMENTADO]])</f>
        <v>28</v>
      </c>
      <c r="F32" s="140" t="s">
        <v>162</v>
      </c>
      <c r="G32" s="149" t="s">
        <v>163</v>
      </c>
      <c r="H32" s="141">
        <v>46262</v>
      </c>
      <c r="I32" s="142" t="s">
        <v>52</v>
      </c>
      <c r="J32" s="142" t="s">
        <v>77</v>
      </c>
      <c r="K32" s="142" t="s">
        <v>137</v>
      </c>
      <c r="L32" s="191">
        <v>5</v>
      </c>
      <c r="M32" s="142" t="s">
        <v>78</v>
      </c>
      <c r="N32" s="150" t="s">
        <v>164</v>
      </c>
      <c r="O32" s="153">
        <v>1209</v>
      </c>
      <c r="P32" s="142" t="s">
        <v>56</v>
      </c>
      <c r="Q32" s="161" t="s">
        <v>2</v>
      </c>
      <c r="R32" s="144" t="s">
        <v>2</v>
      </c>
      <c r="S32" s="142" t="s">
        <v>56</v>
      </c>
      <c r="T32" s="141"/>
      <c r="U32" s="145"/>
      <c r="V32" s="145"/>
      <c r="W32" s="146"/>
      <c r="X32" s="148"/>
      <c r="Y32" s="148"/>
    </row>
    <row r="33" spans="1:26" ht="140.1" customHeight="1">
      <c r="A33" s="201">
        <v>31</v>
      </c>
      <c r="B33" s="152">
        <f>+Table13[[#This Row],[IMPLEMENTADO]]-30</f>
        <v>46234</v>
      </c>
      <c r="C33" s="137">
        <f>IF(YEAR(Table13[[#This Row],[IMPLEMENTADO]])="","",YEAR(Table13[[#This Row],[IMPLEMENTADO]]))</f>
        <v>2026</v>
      </c>
      <c r="D33" s="138" t="str">
        <f>IF(Table13[[#This Row],[IMPLEMENTADO]]="","",TEXT(Table13[[#This Row],[IMPLEMENTADO]],"Mmm"))</f>
        <v>ago</v>
      </c>
      <c r="E33" s="137">
        <f>DAY(Table13[[#This Row],[IMPLEMENTADO]])</f>
        <v>30</v>
      </c>
      <c r="F33" s="149" t="s">
        <v>390</v>
      </c>
      <c r="G33" s="139" t="s">
        <v>391</v>
      </c>
      <c r="H33" s="141">
        <v>46264</v>
      </c>
      <c r="I33" s="142" t="s">
        <v>52</v>
      </c>
      <c r="J33" s="142" t="s">
        <v>77</v>
      </c>
      <c r="K33" s="137" t="s">
        <v>165</v>
      </c>
      <c r="L33" s="202">
        <v>5</v>
      </c>
      <c r="M33" s="142" t="s">
        <v>55</v>
      </c>
      <c r="N33" s="150" t="s">
        <v>166</v>
      </c>
      <c r="O33" s="203">
        <v>1349</v>
      </c>
      <c r="P33" s="142" t="s">
        <v>56</v>
      </c>
      <c r="Q33" s="161" t="s">
        <v>13</v>
      </c>
      <c r="R33" s="144" t="s">
        <v>13</v>
      </c>
      <c r="S33" s="142" t="s">
        <v>56</v>
      </c>
      <c r="T33" s="141"/>
      <c r="U33" s="145"/>
      <c r="V33" s="145"/>
      <c r="W33" s="151"/>
      <c r="X33" s="148"/>
      <c r="Y33" s="148"/>
    </row>
    <row r="34" spans="1:26" ht="77.45" customHeight="1">
      <c r="A34" s="190">
        <v>32</v>
      </c>
      <c r="B34" s="152">
        <v>46237</v>
      </c>
      <c r="C34" s="163">
        <f>IF(YEAR(Table13[[#This Row],[IMPLEMENTADO]])="","",YEAR(Table13[[#This Row],[IMPLEMENTADO]]))</f>
        <v>2026</v>
      </c>
      <c r="D34" s="138" t="str">
        <f>IF(Table13[[#This Row],[IMPLEMENTADO]]="","",TEXT(Table13[[#This Row],[IMPLEMENTADO]],"Mmm"))</f>
        <v>sept</v>
      </c>
      <c r="E34" s="163">
        <f>DAY(Table13[[#This Row],[IMPLEMENTADO]])</f>
        <v>1</v>
      </c>
      <c r="F34" s="149" t="s">
        <v>168</v>
      </c>
      <c r="G34" s="139" t="s">
        <v>169</v>
      </c>
      <c r="H34" s="141">
        <v>46266</v>
      </c>
      <c r="I34" s="142" t="s">
        <v>52</v>
      </c>
      <c r="J34" s="142" t="s">
        <v>98</v>
      </c>
      <c r="K34" s="142" t="s">
        <v>137</v>
      </c>
      <c r="L34" s="192">
        <v>3</v>
      </c>
      <c r="M34" s="142" t="s">
        <v>55</v>
      </c>
      <c r="N34" s="187" t="s">
        <v>170</v>
      </c>
      <c r="O34" s="153">
        <v>1255</v>
      </c>
      <c r="P34" s="142" t="s">
        <v>56</v>
      </c>
      <c r="Q34" s="155" t="s">
        <v>417</v>
      </c>
      <c r="R34" s="144" t="s">
        <v>19</v>
      </c>
      <c r="S34" s="142" t="s">
        <v>56</v>
      </c>
      <c r="T34" s="141"/>
      <c r="U34" s="145" t="s">
        <v>57</v>
      </c>
      <c r="V34" s="156"/>
      <c r="W34" s="146"/>
      <c r="X34" s="148"/>
      <c r="Y34" s="148"/>
    </row>
    <row r="35" spans="1:26" ht="77.45" customHeight="1">
      <c r="A35" s="190">
        <v>33</v>
      </c>
      <c r="B35" s="166">
        <v>46237</v>
      </c>
      <c r="C35" s="137">
        <f>IF(YEAR(Table13[[#This Row],[IMPLEMENTADO]])="","",YEAR(Table13[[#This Row],[IMPLEMENTADO]]))</f>
        <v>2026</v>
      </c>
      <c r="D35" s="138" t="str">
        <f>IF(Table13[[#This Row],[IMPLEMENTADO]]="","",TEXT(Table13[[#This Row],[IMPLEMENTADO]],"Mmm"))</f>
        <v>sept</v>
      </c>
      <c r="E35" s="137">
        <f>DAY(Table13[[#This Row],[IMPLEMENTADO]])</f>
        <v>30</v>
      </c>
      <c r="F35" s="149" t="s">
        <v>171</v>
      </c>
      <c r="G35" s="139" t="s">
        <v>172</v>
      </c>
      <c r="H35" s="141">
        <v>46295</v>
      </c>
      <c r="I35" s="142" t="s">
        <v>52</v>
      </c>
      <c r="J35" s="142" t="s">
        <v>113</v>
      </c>
      <c r="K35" s="142" t="s">
        <v>130</v>
      </c>
      <c r="L35" s="192">
        <v>6</v>
      </c>
      <c r="M35" s="142" t="s">
        <v>55</v>
      </c>
      <c r="N35" s="187" t="s">
        <v>173</v>
      </c>
      <c r="O35" s="153">
        <v>1254</v>
      </c>
      <c r="P35" s="142" t="s">
        <v>56</v>
      </c>
      <c r="Q35" s="155" t="s">
        <v>418</v>
      </c>
      <c r="R35" s="144" t="s">
        <v>3</v>
      </c>
      <c r="S35" s="142" t="s">
        <v>56</v>
      </c>
      <c r="T35" s="141"/>
      <c r="U35" s="145" t="s">
        <v>174</v>
      </c>
      <c r="V35" s="156"/>
      <c r="W35" s="156"/>
      <c r="X35" s="148"/>
      <c r="Y35" s="148"/>
    </row>
    <row r="36" spans="1:26" ht="77.45" customHeight="1">
      <c r="A36" s="190">
        <v>34</v>
      </c>
      <c r="B36" s="166">
        <f>+Table13[[#This Row],[IMPLEMENTADO]]-30</f>
        <v>46265</v>
      </c>
      <c r="C36" s="137">
        <f>IF(YEAR(Table13[[#This Row],[IMPLEMENTADO]])="","",YEAR(Table13[[#This Row],[IMPLEMENTADO]]))</f>
        <v>2026</v>
      </c>
      <c r="D36" s="138" t="str">
        <f>IF(Table13[[#This Row],[IMPLEMENTADO]]="","",TEXT(Table13[[#This Row],[IMPLEMENTADO]],"Mmm"))</f>
        <v>sept</v>
      </c>
      <c r="E36" s="137">
        <f>DAY(Table13[[#This Row],[IMPLEMENTADO]])</f>
        <v>30</v>
      </c>
      <c r="F36" s="149" t="s">
        <v>412</v>
      </c>
      <c r="G36" s="149" t="s">
        <v>175</v>
      </c>
      <c r="H36" s="141">
        <v>46295</v>
      </c>
      <c r="I36" s="142" t="s">
        <v>52</v>
      </c>
      <c r="J36" s="142" t="s">
        <v>125</v>
      </c>
      <c r="K36" s="137" t="s">
        <v>165</v>
      </c>
      <c r="L36" s="192">
        <v>2</v>
      </c>
      <c r="M36" s="142" t="s">
        <v>55</v>
      </c>
      <c r="N36" s="187"/>
      <c r="O36" s="196">
        <v>1348</v>
      </c>
      <c r="P36" s="142" t="s">
        <v>56</v>
      </c>
      <c r="Q36" s="161" t="s">
        <v>413</v>
      </c>
      <c r="R36" s="161" t="s">
        <v>413</v>
      </c>
      <c r="S36" s="142" t="s">
        <v>56</v>
      </c>
      <c r="T36" s="141"/>
      <c r="U36" s="145" t="s">
        <v>174</v>
      </c>
      <c r="V36" s="145"/>
      <c r="W36" s="186"/>
      <c r="X36" s="148"/>
      <c r="Y36" s="148"/>
    </row>
    <row r="37" spans="1:26" ht="77.45" customHeight="1">
      <c r="A37" s="190">
        <v>35</v>
      </c>
      <c r="B37" s="152">
        <f>+Table13[[#This Row],[IMPLEMENTADO]]-30</f>
        <v>46270</v>
      </c>
      <c r="C37" s="163">
        <f>IF(YEAR(Table13[[#This Row],[IMPLEMENTADO]])="","",YEAR(Table13[[#This Row],[IMPLEMENTADO]]))</f>
        <v>2026</v>
      </c>
      <c r="D37" s="138" t="str">
        <f>IF(Table13[[#This Row],[IMPLEMENTADO]]="","",TEXT(Table13[[#This Row],[IMPLEMENTADO]],"Mmm"))</f>
        <v>oct</v>
      </c>
      <c r="E37" s="163">
        <f>DAY(Table13[[#This Row],[IMPLEMENTADO]])</f>
        <v>5</v>
      </c>
      <c r="F37" s="149" t="s">
        <v>177</v>
      </c>
      <c r="G37" s="149" t="s">
        <v>178</v>
      </c>
      <c r="H37" s="141">
        <v>46300</v>
      </c>
      <c r="I37" s="137" t="s">
        <v>52</v>
      </c>
      <c r="J37" s="137" t="s">
        <v>77</v>
      </c>
      <c r="K37" s="137" t="s">
        <v>77</v>
      </c>
      <c r="L37" s="191">
        <v>5</v>
      </c>
      <c r="M37" s="142" t="s">
        <v>55</v>
      </c>
      <c r="N37" s="187" t="s">
        <v>179</v>
      </c>
      <c r="O37" s="188">
        <v>1321</v>
      </c>
      <c r="P37" s="142" t="s">
        <v>56</v>
      </c>
      <c r="Q37" s="155" t="s">
        <v>180</v>
      </c>
      <c r="R37" s="144" t="s">
        <v>5</v>
      </c>
      <c r="S37" s="142" t="s">
        <v>56</v>
      </c>
      <c r="T37" s="141">
        <v>46307</v>
      </c>
      <c r="U37" s="145" t="s">
        <v>174</v>
      </c>
      <c r="V37" s="145"/>
      <c r="W37" s="146"/>
    </row>
    <row r="38" spans="1:26" ht="77.45" customHeight="1">
      <c r="A38" s="200">
        <v>36</v>
      </c>
      <c r="B38" s="152">
        <v>46305</v>
      </c>
      <c r="C38" s="163">
        <f>IF(YEAR(Table13[[#This Row],[IMPLEMENTADO]])="","",YEAR(Table13[[#This Row],[IMPLEMENTADO]]))</f>
        <v>2026</v>
      </c>
      <c r="D38" s="138" t="str">
        <f>IF(Table13[[#This Row],[IMPLEMENTADO]]="","",TEXT(Table13[[#This Row],[IMPLEMENTADO]],"Mmm"))</f>
        <v>oct</v>
      </c>
      <c r="E38" s="198">
        <f>DAY(Table13[[#This Row],[IMPLEMENTADO]])</f>
        <v>28</v>
      </c>
      <c r="F38" s="149" t="s">
        <v>96</v>
      </c>
      <c r="G38" s="149" t="s">
        <v>392</v>
      </c>
      <c r="H38" s="172">
        <v>46323</v>
      </c>
      <c r="I38" s="137" t="s">
        <v>52</v>
      </c>
      <c r="J38" s="205" t="s">
        <v>98</v>
      </c>
      <c r="K38" s="137" t="s">
        <v>98</v>
      </c>
      <c r="L38" s="192">
        <v>3</v>
      </c>
      <c r="M38" s="142" t="s">
        <v>55</v>
      </c>
      <c r="N38" s="150" t="s">
        <v>70</v>
      </c>
      <c r="O38" s="199">
        <v>1351</v>
      </c>
      <c r="P38" s="142" t="s">
        <v>56</v>
      </c>
      <c r="Q38" s="155" t="s">
        <v>265</v>
      </c>
      <c r="R38" s="144" t="s">
        <v>2</v>
      </c>
      <c r="S38" s="142" t="s">
        <v>56</v>
      </c>
      <c r="T38" s="141"/>
      <c r="U38" s="145"/>
      <c r="V38" s="145"/>
      <c r="W38" s="146"/>
    </row>
    <row r="39" spans="1:26" ht="77.45" customHeight="1">
      <c r="A39" s="200">
        <v>37</v>
      </c>
      <c r="B39" s="166">
        <v>46307</v>
      </c>
      <c r="C39" s="163">
        <f>IF(YEAR(Table13[[#This Row],[IMPLEMENTADO]])="","",YEAR(Table13[[#This Row],[IMPLEMENTADO]]))</f>
        <v>2026</v>
      </c>
      <c r="D39" s="138" t="str">
        <f>IF(Table13[[#This Row],[IMPLEMENTADO]]="","",TEXT(Table13[[#This Row],[IMPLEMENTADO]],"Mmm"))</f>
        <v>oct</v>
      </c>
      <c r="E39" s="198">
        <f>DAY(Table13[[#This Row],[IMPLEMENTADO]])</f>
        <v>30</v>
      </c>
      <c r="F39" s="149" t="s">
        <v>393</v>
      </c>
      <c r="G39" s="140" t="s">
        <v>381</v>
      </c>
      <c r="H39" s="172">
        <v>46325</v>
      </c>
      <c r="I39" s="142" t="s">
        <v>52</v>
      </c>
      <c r="J39" s="142" t="s">
        <v>125</v>
      </c>
      <c r="K39" s="137" t="s">
        <v>382</v>
      </c>
      <c r="L39" s="192">
        <v>2</v>
      </c>
      <c r="M39" s="142" t="s">
        <v>55</v>
      </c>
      <c r="N39" s="171"/>
      <c r="O39" s="199">
        <v>1350</v>
      </c>
      <c r="P39" s="142" t="s">
        <v>56</v>
      </c>
      <c r="Q39" s="161" t="s">
        <v>0</v>
      </c>
      <c r="R39" s="144" t="s">
        <v>0</v>
      </c>
      <c r="S39" s="142" t="s">
        <v>56</v>
      </c>
      <c r="T39" s="141"/>
      <c r="U39" s="145"/>
      <c r="V39" s="145"/>
      <c r="W39" s="146"/>
    </row>
    <row r="40" spans="1:26" ht="77.45" customHeight="1">
      <c r="A40" s="190">
        <v>38</v>
      </c>
      <c r="B40" s="166">
        <v>46023</v>
      </c>
      <c r="C40" s="137">
        <f>IF(YEAR(Table13[[#This Row],[IMPLEMENTADO]])="","",YEAR(Table13[[#This Row],[IMPLEMENTADO]]))</f>
        <v>2026</v>
      </c>
      <c r="D40" s="138" t="str">
        <f>IF(Table13[[#This Row],[IMPLEMENTADO]]="","",TEXT(Table13[[#This Row],[IMPLEMENTADO]],"Mmm"))</f>
        <v>oct</v>
      </c>
      <c r="E40" s="137">
        <f>DAY(Table13[[#This Row],[IMPLEMENTADO]])</f>
        <v>30</v>
      </c>
      <c r="F40" s="149" t="s">
        <v>395</v>
      </c>
      <c r="G40" s="149" t="s">
        <v>396</v>
      </c>
      <c r="H40" s="141">
        <v>46325</v>
      </c>
      <c r="I40" s="137" t="s">
        <v>52</v>
      </c>
      <c r="J40" s="137" t="s">
        <v>125</v>
      </c>
      <c r="K40" s="137" t="s">
        <v>77</v>
      </c>
      <c r="L40" s="191">
        <v>2</v>
      </c>
      <c r="M40" s="142" t="s">
        <v>78</v>
      </c>
      <c r="N40" s="187" t="s">
        <v>185</v>
      </c>
      <c r="O40" s="199">
        <v>1344</v>
      </c>
      <c r="P40" s="142" t="s">
        <v>56</v>
      </c>
      <c r="Q40" s="144" t="s">
        <v>431</v>
      </c>
      <c r="R40" s="144" t="s">
        <v>12</v>
      </c>
      <c r="S40" s="142" t="s">
        <v>56</v>
      </c>
      <c r="T40" s="141"/>
      <c r="U40" s="145"/>
      <c r="V40" s="145"/>
      <c r="W40" s="151"/>
      <c r="X40" s="148"/>
      <c r="Y40" s="148"/>
      <c r="Z40" s="148"/>
    </row>
    <row r="41" spans="1:26" ht="77.45" customHeight="1">
      <c r="A41" s="206">
        <v>39</v>
      </c>
      <c r="B41" s="152">
        <v>46323</v>
      </c>
      <c r="C41" s="163">
        <f>IF(YEAR(Table13[[#This Row],[IMPLEMENTADO]])="","",YEAR(Table13[[#This Row],[IMPLEMENTADO]]))</f>
        <v>2026</v>
      </c>
      <c r="D41" s="138" t="str">
        <f>IF(Table13[[#This Row],[IMPLEMENTADO]]="","",TEXT(Table13[[#This Row],[IMPLEMENTADO]],"Mmm"))</f>
        <v>oct</v>
      </c>
      <c r="E41" s="163">
        <f>DAY(Table13[[#This Row],[IMPLEMENTADO]])</f>
        <v>30</v>
      </c>
      <c r="F41" s="149" t="s">
        <v>397</v>
      </c>
      <c r="G41" s="149" t="s">
        <v>398</v>
      </c>
      <c r="H41" s="141">
        <v>46325</v>
      </c>
      <c r="I41" s="137" t="s">
        <v>52</v>
      </c>
      <c r="J41" s="137" t="s">
        <v>77</v>
      </c>
      <c r="K41" s="137" t="s">
        <v>190</v>
      </c>
      <c r="L41" s="191">
        <v>5</v>
      </c>
      <c r="M41" s="142" t="s">
        <v>55</v>
      </c>
      <c r="N41" s="187" t="s">
        <v>191</v>
      </c>
      <c r="O41" s="199">
        <v>1343</v>
      </c>
      <c r="P41" s="142" t="s">
        <v>56</v>
      </c>
      <c r="Q41" s="155" t="s">
        <v>192</v>
      </c>
      <c r="R41" s="144" t="s">
        <v>22</v>
      </c>
      <c r="S41" s="142" t="s">
        <v>56</v>
      </c>
      <c r="T41" s="141"/>
      <c r="U41" s="145"/>
      <c r="V41" s="145"/>
      <c r="W41" s="146"/>
      <c r="X41" s="148"/>
      <c r="Y41" s="148"/>
      <c r="Z41" s="148"/>
    </row>
    <row r="42" spans="1:26" ht="77.45" customHeight="1">
      <c r="A42" s="206">
        <v>40</v>
      </c>
      <c r="B42" s="152">
        <f>+Table13[[#This Row],[IMPLEMENTADO]]-30</f>
        <v>46295</v>
      </c>
      <c r="C42" s="163">
        <f>IF(YEAR(Table13[[#This Row],[IMPLEMENTADO]])="","",YEAR(Table13[[#This Row],[IMPLEMENTADO]]))</f>
        <v>2026</v>
      </c>
      <c r="D42" s="138" t="str">
        <f>IF(Table13[[#This Row],[IMPLEMENTADO]]="","",TEXT(Table13[[#This Row],[IMPLEMENTADO]],"Mmm"))</f>
        <v>oct</v>
      </c>
      <c r="E42" s="163">
        <f>DAY(Table13[[#This Row],[IMPLEMENTADO]])</f>
        <v>30</v>
      </c>
      <c r="F42" s="149" t="s">
        <v>411</v>
      </c>
      <c r="G42" s="149" t="s">
        <v>193</v>
      </c>
      <c r="H42" s="141">
        <v>46325</v>
      </c>
      <c r="I42" s="137" t="s">
        <v>52</v>
      </c>
      <c r="J42" s="137" t="s">
        <v>77</v>
      </c>
      <c r="K42" s="137" t="s">
        <v>190</v>
      </c>
      <c r="L42" s="191">
        <v>5</v>
      </c>
      <c r="M42" s="142" t="s">
        <v>55</v>
      </c>
      <c r="N42" s="187" t="s">
        <v>194</v>
      </c>
      <c r="O42" s="199">
        <v>1356</v>
      </c>
      <c r="P42" s="142" t="s">
        <v>56</v>
      </c>
      <c r="Q42" s="155" t="s">
        <v>195</v>
      </c>
      <c r="R42" s="144" t="s">
        <v>22</v>
      </c>
      <c r="S42" s="142" t="s">
        <v>56</v>
      </c>
      <c r="T42" s="141"/>
      <c r="U42" s="145"/>
      <c r="V42" s="145"/>
      <c r="W42" s="186"/>
      <c r="X42" s="148"/>
    </row>
    <row r="43" spans="1:26" ht="77.45" customHeight="1">
      <c r="A43" s="136">
        <v>72</v>
      </c>
      <c r="B43" s="152">
        <v>46296</v>
      </c>
      <c r="C43" s="163">
        <f>IF(YEAR(Table13[[#This Row],[IMPLEMENTADO]])="","",YEAR(Table13[[#This Row],[IMPLEMENTADO]]))</f>
        <v>2026</v>
      </c>
      <c r="D43" s="138" t="str">
        <f>IF(Table13[[#This Row],[IMPLEMENTADO]]="","",TEXT(Table13[[#This Row],[IMPLEMENTADO]],"Mmm"))</f>
        <v>oct</v>
      </c>
      <c r="E43" s="163">
        <f>DAY(Table13[[#This Row],[IMPLEMENTADO]])</f>
        <v>30</v>
      </c>
      <c r="F43" s="140" t="s">
        <v>405</v>
      </c>
      <c r="G43" s="139" t="s">
        <v>406</v>
      </c>
      <c r="H43" s="207">
        <v>46325</v>
      </c>
      <c r="I43" s="137" t="s">
        <v>52</v>
      </c>
      <c r="J43" s="137" t="s">
        <v>229</v>
      </c>
      <c r="K43" s="137" t="s">
        <v>230</v>
      </c>
      <c r="L43" s="137">
        <v>6</v>
      </c>
      <c r="M43" s="137" t="s">
        <v>55</v>
      </c>
      <c r="N43" s="171"/>
      <c r="O43" s="143"/>
      <c r="P43" s="142" t="s">
        <v>211</v>
      </c>
      <c r="Q43" s="155" t="s">
        <v>407</v>
      </c>
      <c r="R43" s="144" t="s">
        <v>21</v>
      </c>
      <c r="S43" s="173" t="s">
        <v>211</v>
      </c>
      <c r="T43" s="141"/>
      <c r="U43" s="145"/>
      <c r="V43" s="145"/>
      <c r="W43" s="146"/>
      <c r="X43" s="148"/>
    </row>
    <row r="44" spans="1:26" ht="77.45" customHeight="1">
      <c r="A44" s="136">
        <v>73</v>
      </c>
      <c r="B44" s="152">
        <v>46296</v>
      </c>
      <c r="C44" s="163">
        <f>IF(YEAR(Table13[[#This Row],[IMPLEMENTADO]])="","",YEAR(Table13[[#This Row],[IMPLEMENTADO]]))</f>
        <v>2026</v>
      </c>
      <c r="D44" s="138" t="str">
        <f>IF(Table13[[#This Row],[IMPLEMENTADO]]="","",TEXT(Table13[[#This Row],[IMPLEMENTADO]],"Mmm"))</f>
        <v>oct</v>
      </c>
      <c r="E44" s="163">
        <f>DAY(Table13[[#This Row],[IMPLEMENTADO]])</f>
        <v>30</v>
      </c>
      <c r="F44" s="140" t="s">
        <v>404</v>
      </c>
      <c r="G44" s="247" t="s">
        <v>409</v>
      </c>
      <c r="H44" s="172">
        <v>46325</v>
      </c>
      <c r="I44" s="137" t="s">
        <v>52</v>
      </c>
      <c r="J44" s="137" t="s">
        <v>229</v>
      </c>
      <c r="K44" s="137" t="s">
        <v>230</v>
      </c>
      <c r="L44" s="137">
        <v>6</v>
      </c>
      <c r="M44" s="137" t="s">
        <v>55</v>
      </c>
      <c r="N44" s="171"/>
      <c r="O44" s="143"/>
      <c r="P44" s="142" t="s">
        <v>211</v>
      </c>
      <c r="Q44" s="208" t="s">
        <v>410</v>
      </c>
      <c r="R44" s="144" t="s">
        <v>0</v>
      </c>
      <c r="S44" s="173" t="s">
        <v>211</v>
      </c>
      <c r="T44" s="141"/>
      <c r="U44" s="145"/>
      <c r="V44" s="145"/>
      <c r="W44" s="146"/>
      <c r="X44" s="148"/>
    </row>
    <row r="45" spans="1:26" ht="77.45" customHeight="1">
      <c r="A45" s="245">
        <v>41</v>
      </c>
      <c r="B45" s="152">
        <v>46323</v>
      </c>
      <c r="C45" s="163">
        <f>IF(YEAR(Table13[[#This Row],[IMPLEMENTADO]])="","",YEAR(Table13[[#This Row],[IMPLEMENTADO]]))</f>
        <v>2026</v>
      </c>
      <c r="D45" s="138" t="str">
        <f>IF(Table13[[#This Row],[IMPLEMENTADO]]="","",TEXT(Table13[[#This Row],[IMPLEMENTADO]],"Mmm"))</f>
        <v>oct</v>
      </c>
      <c r="E45" s="163">
        <f>DAY(Table13[[#This Row],[IMPLEMENTADO]])</f>
        <v>31</v>
      </c>
      <c r="F45" s="149" t="s">
        <v>401</v>
      </c>
      <c r="G45" s="149" t="s">
        <v>261</v>
      </c>
      <c r="H45" s="172">
        <v>46326</v>
      </c>
      <c r="I45" s="137" t="s">
        <v>52</v>
      </c>
      <c r="J45" s="137" t="s">
        <v>77</v>
      </c>
      <c r="K45" s="137" t="s">
        <v>190</v>
      </c>
      <c r="L45" s="245">
        <v>5</v>
      </c>
      <c r="M45" s="142" t="s">
        <v>55</v>
      </c>
      <c r="N45" s="171"/>
      <c r="O45" s="250">
        <v>1353</v>
      </c>
      <c r="P45" s="142" t="s">
        <v>56</v>
      </c>
      <c r="Q45" s="155" t="s">
        <v>262</v>
      </c>
      <c r="R45" s="144" t="s">
        <v>22</v>
      </c>
      <c r="S45" s="173" t="s">
        <v>56</v>
      </c>
      <c r="T45" s="141"/>
      <c r="U45" s="145"/>
      <c r="V45" s="145"/>
      <c r="W45" s="186"/>
      <c r="X45" s="148"/>
    </row>
    <row r="46" spans="1:26" ht="99.95" customHeight="1">
      <c r="A46" s="245">
        <v>42</v>
      </c>
      <c r="B46" s="152">
        <f>+Table13[[#This Row],[IMPLEMENTADO]]-30</f>
        <v>46296</v>
      </c>
      <c r="C46" s="163">
        <f>IF(YEAR(Table13[[#This Row],[IMPLEMENTADO]])="","",YEAR(Table13[[#This Row],[IMPLEMENTADO]]))</f>
        <v>2026</v>
      </c>
      <c r="D46" s="138" t="str">
        <f>IF(Table13[[#This Row],[IMPLEMENTADO]]="","",TEXT(Table13[[#This Row],[IMPLEMENTADO]],"Mmm"))</f>
        <v>oct</v>
      </c>
      <c r="E46" s="163">
        <f>DAY(Table13[[#This Row],[IMPLEMENTADO]])</f>
        <v>31</v>
      </c>
      <c r="F46" s="149" t="s">
        <v>399</v>
      </c>
      <c r="G46" s="149" t="s">
        <v>400</v>
      </c>
      <c r="H46" s="141">
        <v>46326</v>
      </c>
      <c r="I46" s="137" t="s">
        <v>52</v>
      </c>
      <c r="J46" s="137" t="s">
        <v>64</v>
      </c>
      <c r="K46" s="169" t="s">
        <v>196</v>
      </c>
      <c r="L46" s="248">
        <v>2</v>
      </c>
      <c r="M46" s="142" t="s">
        <v>55</v>
      </c>
      <c r="N46" s="187" t="s">
        <v>197</v>
      </c>
      <c r="O46" s="199">
        <v>1345</v>
      </c>
      <c r="P46" s="142" t="s">
        <v>56</v>
      </c>
      <c r="Q46" s="155" t="s">
        <v>198</v>
      </c>
      <c r="R46" s="144" t="s">
        <v>1</v>
      </c>
      <c r="S46" s="142" t="s">
        <v>56</v>
      </c>
      <c r="T46" s="141"/>
      <c r="U46" s="145"/>
      <c r="V46" s="145"/>
      <c r="W46" s="186"/>
      <c r="X46" s="148"/>
    </row>
    <row r="47" spans="1:26" ht="125.1" customHeight="1">
      <c r="A47" s="201">
        <v>43</v>
      </c>
      <c r="B47" s="152">
        <f>+Table13[[#This Row],[IMPLEMENTADO]]-30</f>
        <v>46296</v>
      </c>
      <c r="C47" s="163">
        <f>IF(YEAR(Table13[[#This Row],[IMPLEMENTADO]])="","",YEAR(Table13[[#This Row],[IMPLEMENTADO]]))</f>
        <v>2026</v>
      </c>
      <c r="D47" s="138" t="str">
        <f>IF(Table13[[#This Row],[IMPLEMENTADO]]="","",TEXT(Table13[[#This Row],[IMPLEMENTADO]],"Mmm"))</f>
        <v>oct</v>
      </c>
      <c r="E47" s="163">
        <f>DAY(Table13[[#This Row],[IMPLEMENTADO]])</f>
        <v>31</v>
      </c>
      <c r="F47" s="140" t="s">
        <v>199</v>
      </c>
      <c r="G47" s="149" t="s">
        <v>402</v>
      </c>
      <c r="H47" s="141">
        <v>46326</v>
      </c>
      <c r="I47" s="137" t="s">
        <v>52</v>
      </c>
      <c r="J47" s="137" t="s">
        <v>64</v>
      </c>
      <c r="K47" s="169" t="s">
        <v>130</v>
      </c>
      <c r="L47" s="202">
        <v>2</v>
      </c>
      <c r="M47" s="142" t="s">
        <v>55</v>
      </c>
      <c r="N47" s="187" t="s">
        <v>200</v>
      </c>
      <c r="O47" s="249">
        <v>1352</v>
      </c>
      <c r="P47" s="142" t="s">
        <v>56</v>
      </c>
      <c r="Q47" s="155" t="s">
        <v>198</v>
      </c>
      <c r="R47" s="144" t="s">
        <v>4</v>
      </c>
      <c r="S47" s="142" t="s">
        <v>56</v>
      </c>
      <c r="T47" s="141"/>
      <c r="U47" s="145"/>
      <c r="V47" s="145"/>
      <c r="W47" s="186"/>
      <c r="X47" s="148"/>
    </row>
    <row r="48" spans="1:26" ht="77.45" customHeight="1">
      <c r="A48" s="201">
        <v>44</v>
      </c>
      <c r="B48" s="152">
        <v>46326</v>
      </c>
      <c r="C48" s="163">
        <f>IF(YEAR(Table13[[#This Row],[IMPLEMENTADO]])="","",YEAR(Table13[[#This Row],[IMPLEMENTADO]]))</f>
        <v>2026</v>
      </c>
      <c r="D48" s="138" t="str">
        <f>IF(Table13[[#This Row],[IMPLEMENTADO]]="","",TEXT(Table13[[#This Row],[IMPLEMENTADO]],"Mmm"))</f>
        <v>oct</v>
      </c>
      <c r="E48" s="163">
        <f>DAY(Table13[[#This Row],[IMPLEMENTADO]])</f>
        <v>31</v>
      </c>
      <c r="F48" s="149" t="s">
        <v>403</v>
      </c>
      <c r="G48" s="140" t="s">
        <v>408</v>
      </c>
      <c r="H48" s="172">
        <v>46326</v>
      </c>
      <c r="I48" s="137" t="s">
        <v>52</v>
      </c>
      <c r="J48" s="137" t="s">
        <v>125</v>
      </c>
      <c r="K48" s="137" t="s">
        <v>165</v>
      </c>
      <c r="L48" s="202">
        <v>2</v>
      </c>
      <c r="M48" s="142" t="s">
        <v>55</v>
      </c>
      <c r="N48" s="171"/>
      <c r="O48" s="199">
        <v>1342</v>
      </c>
      <c r="P48" s="142" t="s">
        <v>56</v>
      </c>
      <c r="Q48" s="155" t="s">
        <v>201</v>
      </c>
      <c r="R48" s="144" t="s">
        <v>2</v>
      </c>
      <c r="S48" s="142" t="s">
        <v>56</v>
      </c>
      <c r="T48" s="141"/>
      <c r="U48" s="145"/>
      <c r="V48" s="145"/>
      <c r="W48" s="146"/>
      <c r="X48" s="148"/>
    </row>
    <row r="49" spans="1:24" ht="125.1" customHeight="1">
      <c r="A49" s="136">
        <v>45</v>
      </c>
      <c r="B49" s="152">
        <v>46336</v>
      </c>
      <c r="C49" s="163">
        <f>IF(YEAR(Table13[[#This Row],[IMPLEMENTADO]])="","",YEAR(Table13[[#This Row],[IMPLEMENTADO]]))</f>
        <v>2026</v>
      </c>
      <c r="D49" s="138" t="str">
        <f>IF(Table13[[#This Row],[IMPLEMENTADO]]="","",TEXT(Table13[[#This Row],[IMPLEMENTADO]],"Mmm"))</f>
        <v>nov</v>
      </c>
      <c r="E49" s="163">
        <f>DAY(Table13[[#This Row],[IMPLEMENTADO]])</f>
        <v>10</v>
      </c>
      <c r="F49" s="140" t="s">
        <v>272</v>
      </c>
      <c r="G49" s="149" t="s">
        <v>273</v>
      </c>
      <c r="H49" s="172">
        <v>46336</v>
      </c>
      <c r="I49" s="137" t="s">
        <v>52</v>
      </c>
      <c r="J49" s="137" t="s">
        <v>160</v>
      </c>
      <c r="K49" s="137" t="s">
        <v>165</v>
      </c>
      <c r="L49" s="137">
        <v>4</v>
      </c>
      <c r="M49" s="142" t="s">
        <v>55</v>
      </c>
      <c r="N49" s="171"/>
      <c r="O49" s="143"/>
      <c r="P49" s="142" t="s">
        <v>211</v>
      </c>
      <c r="Q49" s="155" t="s">
        <v>274</v>
      </c>
      <c r="R49" s="144" t="s">
        <v>20</v>
      </c>
      <c r="S49" s="173" t="s">
        <v>211</v>
      </c>
      <c r="T49" s="141"/>
      <c r="U49" s="145"/>
      <c r="V49" s="145"/>
      <c r="W49" s="186"/>
      <c r="X49" s="148"/>
    </row>
    <row r="50" spans="1:24" ht="125.1" customHeight="1">
      <c r="A50" s="136">
        <v>46</v>
      </c>
      <c r="B50" s="152">
        <v>46336</v>
      </c>
      <c r="C50" s="163">
        <f>IF(YEAR(Table13[[#This Row],[IMPLEMENTADO]])="","",YEAR(Table13[[#This Row],[IMPLEMENTADO]]))</f>
        <v>2026</v>
      </c>
      <c r="D50" s="138" t="str">
        <f>IF(Table13[[#This Row],[IMPLEMENTADO]]="","",TEXT(Table13[[#This Row],[IMPLEMENTADO]],"Mmm"))</f>
        <v>nov</v>
      </c>
      <c r="E50" s="163">
        <f>DAY(Table13[[#This Row],[IMPLEMENTADO]])</f>
        <v>10</v>
      </c>
      <c r="F50" s="140" t="s">
        <v>275</v>
      </c>
      <c r="G50" s="140" t="s">
        <v>276</v>
      </c>
      <c r="H50" s="172">
        <v>46336</v>
      </c>
      <c r="I50" s="137" t="s">
        <v>52</v>
      </c>
      <c r="J50" s="137" t="s">
        <v>98</v>
      </c>
      <c r="K50" s="137" t="s">
        <v>188</v>
      </c>
      <c r="L50" s="137">
        <v>3</v>
      </c>
      <c r="M50" s="142" t="s">
        <v>55</v>
      </c>
      <c r="N50" s="171"/>
      <c r="O50" s="143"/>
      <c r="P50" s="142" t="s">
        <v>211</v>
      </c>
      <c r="Q50" s="161" t="s">
        <v>13</v>
      </c>
      <c r="R50" s="144" t="s">
        <v>15</v>
      </c>
      <c r="S50" s="173" t="s">
        <v>211</v>
      </c>
      <c r="T50" s="141"/>
      <c r="U50" s="145"/>
      <c r="V50" s="145"/>
      <c r="W50" s="186"/>
      <c r="X50" s="148"/>
    </row>
    <row r="51" spans="1:24" s="184" customFormat="1" ht="108.6" customHeight="1">
      <c r="A51" s="136">
        <v>47</v>
      </c>
      <c r="B51" s="152">
        <v>46265</v>
      </c>
      <c r="C51" s="163">
        <f>IF(YEAR(Table13[[#This Row],[IMPLEMENTADO]])="","",YEAR(Table13[[#This Row],[IMPLEMENTADO]]))</f>
        <v>2026</v>
      </c>
      <c r="D51" s="138" t="str">
        <f>IF(Table13[[#This Row],[IMPLEMENTADO]]="","",TEXT(Table13[[#This Row],[IMPLEMENTADO]],"Mmm"))</f>
        <v>nov</v>
      </c>
      <c r="E51" s="163">
        <f>DAY(Table13[[#This Row],[IMPLEMENTADO]])</f>
        <v>30</v>
      </c>
      <c r="F51" s="140" t="s">
        <v>181</v>
      </c>
      <c r="G51" s="149" t="s">
        <v>182</v>
      </c>
      <c r="H51" s="141">
        <v>46356</v>
      </c>
      <c r="I51" s="137" t="s">
        <v>52</v>
      </c>
      <c r="J51" s="137" t="s">
        <v>160</v>
      </c>
      <c r="K51" s="137" t="s">
        <v>156</v>
      </c>
      <c r="L51" s="137">
        <v>4</v>
      </c>
      <c r="M51" s="137" t="s">
        <v>78</v>
      </c>
      <c r="N51" s="187" t="s">
        <v>183</v>
      </c>
      <c r="O51" s="143"/>
      <c r="P51" s="142" t="s">
        <v>211</v>
      </c>
      <c r="Q51" s="155" t="s">
        <v>416</v>
      </c>
      <c r="R51" s="161" t="s">
        <v>3</v>
      </c>
      <c r="S51" s="142" t="s">
        <v>211</v>
      </c>
      <c r="T51" s="141"/>
      <c r="U51" s="145"/>
      <c r="V51" s="145"/>
      <c r="W51" s="186"/>
      <c r="X51" s="185"/>
    </row>
    <row r="52" spans="1:24" ht="80.099999999999994" customHeight="1">
      <c r="A52" s="136">
        <v>48</v>
      </c>
      <c r="B52" s="152">
        <v>46356</v>
      </c>
      <c r="C52" s="163">
        <f>IF(YEAR(Table13[[#This Row],[IMPLEMENTADO]])="","",YEAR(Table13[[#This Row],[IMPLEMENTADO]]))</f>
        <v>2026</v>
      </c>
      <c r="D52" s="138" t="str">
        <f>IF(Table13[[#This Row],[IMPLEMENTADO]]="","",TEXT(Table13[[#This Row],[IMPLEMENTADO]],"Mmm"))</f>
        <v>nov</v>
      </c>
      <c r="E52" s="163">
        <f>DAY(Table13[[#This Row],[IMPLEMENTADO]])</f>
        <v>30</v>
      </c>
      <c r="F52" s="140" t="s">
        <v>202</v>
      </c>
      <c r="G52" s="149" t="s">
        <v>203</v>
      </c>
      <c r="H52" s="172">
        <v>46356</v>
      </c>
      <c r="I52" s="137" t="s">
        <v>52</v>
      </c>
      <c r="J52" s="137" t="s">
        <v>77</v>
      </c>
      <c r="K52" s="137" t="s">
        <v>77</v>
      </c>
      <c r="L52" s="137">
        <v>5</v>
      </c>
      <c r="M52" s="142" t="s">
        <v>55</v>
      </c>
      <c r="N52" s="171"/>
      <c r="O52" s="143"/>
      <c r="P52" s="142" t="s">
        <v>211</v>
      </c>
      <c r="Q52" s="155" t="s">
        <v>201</v>
      </c>
      <c r="R52" s="144" t="s">
        <v>23</v>
      </c>
      <c r="S52" s="142" t="s">
        <v>211</v>
      </c>
      <c r="T52" s="141"/>
      <c r="U52" s="145"/>
      <c r="V52" s="145"/>
      <c r="W52" s="186"/>
      <c r="X52" s="148"/>
    </row>
    <row r="53" spans="1:24" ht="80.099999999999994" customHeight="1">
      <c r="A53" s="136">
        <v>49</v>
      </c>
      <c r="B53" s="152">
        <f>+Table13[[#This Row],[IMPLEMENTADO]]-30</f>
        <v>46326</v>
      </c>
      <c r="C53" s="163">
        <f>IF(YEAR(Table13[[#This Row],[IMPLEMENTADO]])="","",YEAR(Table13[[#This Row],[IMPLEMENTADO]]))</f>
        <v>2026</v>
      </c>
      <c r="D53" s="138" t="str">
        <f>IF(Table13[[#This Row],[IMPLEMENTADO]]="","",TEXT(Table13[[#This Row],[IMPLEMENTADO]],"Mmm"))</f>
        <v>nov</v>
      </c>
      <c r="E53" s="163">
        <f>DAY(Table13[[#This Row],[IMPLEMENTADO]])</f>
        <v>30</v>
      </c>
      <c r="F53" s="149" t="s">
        <v>186</v>
      </c>
      <c r="G53" s="149" t="s">
        <v>187</v>
      </c>
      <c r="H53" s="141">
        <v>46356</v>
      </c>
      <c r="I53" s="137" t="s">
        <v>52</v>
      </c>
      <c r="J53" s="137" t="s">
        <v>98</v>
      </c>
      <c r="K53" s="137" t="s">
        <v>188</v>
      </c>
      <c r="L53" s="137">
        <v>3</v>
      </c>
      <c r="M53" s="142" t="s">
        <v>55</v>
      </c>
      <c r="N53" s="187" t="s">
        <v>189</v>
      </c>
      <c r="O53" s="143"/>
      <c r="P53" s="142" t="s">
        <v>211</v>
      </c>
      <c r="Q53" s="155" t="s">
        <v>426</v>
      </c>
      <c r="R53" s="144" t="s">
        <v>2</v>
      </c>
      <c r="S53" s="142" t="s">
        <v>211</v>
      </c>
      <c r="T53" s="141"/>
      <c r="U53" s="145"/>
      <c r="V53" s="145"/>
      <c r="W53" s="186"/>
      <c r="X53" s="148"/>
    </row>
    <row r="54" spans="1:24" ht="45">
      <c r="A54" s="136">
        <v>50</v>
      </c>
      <c r="B54" s="152">
        <v>46266</v>
      </c>
      <c r="C54" s="163">
        <f>IF(YEAR(Table13[[#This Row],[IMPLEMENTADO]])="","",YEAR(Table13[[#This Row],[IMPLEMENTADO]]))</f>
        <v>2026</v>
      </c>
      <c r="D54" s="138" t="str">
        <f>IF(Table13[[#This Row],[IMPLEMENTADO]]="","",TEXT(Table13[[#This Row],[IMPLEMENTADO]],"Mmm"))</f>
        <v>nov</v>
      </c>
      <c r="E54" s="163">
        <f>DAY(Table13[[#This Row],[IMPLEMENTADO]])</f>
        <v>30</v>
      </c>
      <c r="F54" s="140" t="s">
        <v>204</v>
      </c>
      <c r="G54" s="149" t="s">
        <v>205</v>
      </c>
      <c r="H54" s="141">
        <v>46356</v>
      </c>
      <c r="I54" s="137" t="s">
        <v>52</v>
      </c>
      <c r="J54" s="137" t="s">
        <v>160</v>
      </c>
      <c r="K54" s="137" t="s">
        <v>156</v>
      </c>
      <c r="L54" s="137">
        <v>4</v>
      </c>
      <c r="M54" s="142" t="s">
        <v>55</v>
      </c>
      <c r="N54" s="150" t="s">
        <v>148</v>
      </c>
      <c r="O54" s="143"/>
      <c r="P54" s="142" t="s">
        <v>211</v>
      </c>
      <c r="Q54" s="155" t="s">
        <v>416</v>
      </c>
      <c r="R54" s="161" t="s">
        <v>20</v>
      </c>
      <c r="S54" s="142" t="s">
        <v>211</v>
      </c>
      <c r="T54" s="141"/>
      <c r="U54" s="145"/>
      <c r="V54" s="156"/>
      <c r="W54" s="186"/>
      <c r="X54" s="148"/>
    </row>
    <row r="55" spans="1:24" ht="80.099999999999994" customHeight="1">
      <c r="A55" s="136">
        <v>51</v>
      </c>
      <c r="B55" s="152">
        <v>46274</v>
      </c>
      <c r="C55" s="163">
        <f>IF(YEAR(Table13[[#This Row],[IMPLEMENTADO]])="","",YEAR(Table13[[#This Row],[IMPLEMENTADO]]))</f>
        <v>2026</v>
      </c>
      <c r="D55" s="138" t="str">
        <f>IF(Table13[[#This Row],[IMPLEMENTADO]]="","",TEXT(Table13[[#This Row],[IMPLEMENTADO]],"Mmm"))</f>
        <v>nov</v>
      </c>
      <c r="E55" s="163">
        <f>DAY(Table13[[#This Row],[IMPLEMENTADO]])</f>
        <v>30</v>
      </c>
      <c r="F55" s="140" t="s">
        <v>206</v>
      </c>
      <c r="G55" s="149" t="s">
        <v>207</v>
      </c>
      <c r="H55" s="141">
        <v>46356</v>
      </c>
      <c r="I55" s="137" t="s">
        <v>52</v>
      </c>
      <c r="J55" s="137" t="s">
        <v>160</v>
      </c>
      <c r="K55" s="137" t="s">
        <v>156</v>
      </c>
      <c r="L55" s="137">
        <v>3</v>
      </c>
      <c r="M55" s="137" t="s">
        <v>78</v>
      </c>
      <c r="N55" s="150" t="s">
        <v>183</v>
      </c>
      <c r="O55" s="143"/>
      <c r="P55" s="142" t="s">
        <v>211</v>
      </c>
      <c r="Q55" s="155" t="s">
        <v>416</v>
      </c>
      <c r="R55" s="161" t="s">
        <v>10</v>
      </c>
      <c r="S55" s="142" t="s">
        <v>211</v>
      </c>
      <c r="T55" s="141"/>
      <c r="U55" s="145"/>
      <c r="V55" s="145"/>
      <c r="W55" s="186"/>
      <c r="X55" s="148"/>
    </row>
    <row r="56" spans="1:24" ht="80.099999999999994" customHeight="1">
      <c r="A56" s="136">
        <v>52</v>
      </c>
      <c r="B56" s="152">
        <v>46325</v>
      </c>
      <c r="C56" s="163">
        <f>IF(YEAR(Table13[[#This Row],[IMPLEMENTADO]])="","",YEAR(Table13[[#This Row],[IMPLEMENTADO]]))</f>
        <v>2026</v>
      </c>
      <c r="D56" s="138" t="str">
        <f>IF(Table13[[#This Row],[IMPLEMENTADO]]="","",TEXT(Table13[[#This Row],[IMPLEMENTADO]],"Mmm"))</f>
        <v>nov</v>
      </c>
      <c r="E56" s="163">
        <f>DAY(Table13[[#This Row],[IMPLEMENTADO]])</f>
        <v>30</v>
      </c>
      <c r="F56" s="149" t="s">
        <v>208</v>
      </c>
      <c r="G56" s="149" t="s">
        <v>209</v>
      </c>
      <c r="H56" s="141">
        <v>46356</v>
      </c>
      <c r="I56" s="137" t="s">
        <v>52</v>
      </c>
      <c r="J56" s="137" t="s">
        <v>77</v>
      </c>
      <c r="K56" s="137" t="s">
        <v>77</v>
      </c>
      <c r="L56" s="137">
        <v>2</v>
      </c>
      <c r="M56" s="142" t="s">
        <v>55</v>
      </c>
      <c r="N56" s="187" t="s">
        <v>210</v>
      </c>
      <c r="O56" s="143"/>
      <c r="P56" s="142" t="s">
        <v>211</v>
      </c>
      <c r="Q56" s="155" t="s">
        <v>438</v>
      </c>
      <c r="R56" s="144" t="s">
        <v>4</v>
      </c>
      <c r="S56" s="142" t="s">
        <v>211</v>
      </c>
      <c r="T56" s="141"/>
      <c r="U56" s="145"/>
      <c r="V56" s="145"/>
      <c r="W56" s="186"/>
      <c r="X56" s="148"/>
    </row>
    <row r="57" spans="1:24" ht="120" customHeight="1">
      <c r="A57" s="136">
        <v>53</v>
      </c>
      <c r="B57" s="152">
        <f>+Table13[[#This Row],[IMPLEMENTADO]]-30</f>
        <v>46326</v>
      </c>
      <c r="C57" s="137">
        <f>IF(YEAR(Table13[[#This Row],[IMPLEMENTADO]])="","",YEAR(Table13[[#This Row],[IMPLEMENTADO]]))</f>
        <v>2026</v>
      </c>
      <c r="D57" s="138" t="str">
        <f>IF(Table13[[#This Row],[IMPLEMENTADO]]="","",TEXT(Table13[[#This Row],[IMPLEMENTADO]],"Mmm"))</f>
        <v>nov</v>
      </c>
      <c r="E57" s="137">
        <f>DAY(Table13[[#This Row],[IMPLEMENTADO]])</f>
        <v>30</v>
      </c>
      <c r="F57" s="139" t="s">
        <v>212</v>
      </c>
      <c r="G57" s="140" t="s">
        <v>213</v>
      </c>
      <c r="H57" s="141">
        <v>46356</v>
      </c>
      <c r="I57" s="142" t="s">
        <v>52</v>
      </c>
      <c r="J57" s="142" t="s">
        <v>53</v>
      </c>
      <c r="K57" s="142" t="s">
        <v>60</v>
      </c>
      <c r="L57" s="142">
        <v>1</v>
      </c>
      <c r="M57" s="142" t="s">
        <v>55</v>
      </c>
      <c r="N57" s="187"/>
      <c r="O57" s="143"/>
      <c r="P57" s="142" t="s">
        <v>211</v>
      </c>
      <c r="Q57" s="144" t="s">
        <v>420</v>
      </c>
      <c r="R57" s="144" t="s">
        <v>13</v>
      </c>
      <c r="S57" s="142" t="s">
        <v>211</v>
      </c>
      <c r="T57" s="141"/>
      <c r="U57" s="145" t="s">
        <v>174</v>
      </c>
      <c r="V57" s="145"/>
      <c r="W57" s="146"/>
      <c r="X57" s="148"/>
    </row>
    <row r="58" spans="1:24" ht="80.099999999999994" customHeight="1">
      <c r="A58" s="136">
        <v>54</v>
      </c>
      <c r="B58" s="152">
        <f>+Table13[[#This Row],[IMPLEMENTADO]]-30</f>
        <v>46326</v>
      </c>
      <c r="C58" s="137">
        <f>IF(YEAR(Table13[[#This Row],[IMPLEMENTADO]])="","",YEAR(Table13[[#This Row],[IMPLEMENTADO]]))</f>
        <v>2026</v>
      </c>
      <c r="D58" s="138" t="str">
        <f>IF(Table13[[#This Row],[IMPLEMENTADO]]="","",TEXT(Table13[[#This Row],[IMPLEMENTADO]],"Mmm"))</f>
        <v>nov</v>
      </c>
      <c r="E58" s="137">
        <f>DAY(Table13[[#This Row],[IMPLEMENTADO]])</f>
        <v>30</v>
      </c>
      <c r="F58" s="140" t="s">
        <v>214</v>
      </c>
      <c r="G58" s="149" t="s">
        <v>215</v>
      </c>
      <c r="H58" s="141">
        <v>46356</v>
      </c>
      <c r="I58" s="137" t="s">
        <v>52</v>
      </c>
      <c r="J58" s="137" t="s">
        <v>53</v>
      </c>
      <c r="K58" s="137" t="s">
        <v>216</v>
      </c>
      <c r="L58" s="137">
        <v>1</v>
      </c>
      <c r="M58" s="142" t="s">
        <v>55</v>
      </c>
      <c r="N58" s="187" t="s">
        <v>217</v>
      </c>
      <c r="O58" s="143"/>
      <c r="P58" s="142" t="s">
        <v>211</v>
      </c>
      <c r="Q58" s="144" t="s">
        <v>439</v>
      </c>
      <c r="R58" s="144" t="s">
        <v>11</v>
      </c>
      <c r="S58" s="142" t="s">
        <v>211</v>
      </c>
      <c r="T58" s="141"/>
      <c r="U58" s="145"/>
      <c r="V58" s="145"/>
      <c r="W58" s="186"/>
      <c r="X58" s="148"/>
    </row>
    <row r="59" spans="1:24" ht="80.099999999999994" customHeight="1">
      <c r="A59" s="136">
        <v>55</v>
      </c>
      <c r="B59" s="152">
        <f>+Table13[[#This Row],[IMPLEMENTADO]]-30</f>
        <v>46326</v>
      </c>
      <c r="C59" s="137">
        <f>IF(YEAR(Table13[[#This Row],[IMPLEMENTADO]])="","",YEAR(Table13[[#This Row],[IMPLEMENTADO]]))</f>
        <v>2026</v>
      </c>
      <c r="D59" s="138" t="str">
        <f>IF(Table13[[#This Row],[IMPLEMENTADO]]="","",TEXT(Table13[[#This Row],[IMPLEMENTADO]],"Mmm"))</f>
        <v>nov</v>
      </c>
      <c r="E59" s="137">
        <f>DAY(Table13[[#This Row],[IMPLEMENTADO]])</f>
        <v>30</v>
      </c>
      <c r="F59" s="149" t="s">
        <v>218</v>
      </c>
      <c r="G59" s="149" t="s">
        <v>219</v>
      </c>
      <c r="H59" s="141">
        <v>46356</v>
      </c>
      <c r="I59" s="137" t="s">
        <v>52</v>
      </c>
      <c r="J59" s="137" t="s">
        <v>53</v>
      </c>
      <c r="K59" s="137" t="s">
        <v>141</v>
      </c>
      <c r="L59" s="137">
        <v>1</v>
      </c>
      <c r="M59" s="142" t="s">
        <v>55</v>
      </c>
      <c r="N59" s="187" t="s">
        <v>220</v>
      </c>
      <c r="O59" s="143"/>
      <c r="P59" s="142" t="s">
        <v>211</v>
      </c>
      <c r="Q59" s="144" t="s">
        <v>440</v>
      </c>
      <c r="R59" s="144" t="s">
        <v>18</v>
      </c>
      <c r="S59" s="142" t="s">
        <v>211</v>
      </c>
      <c r="T59" s="141"/>
      <c r="U59" s="145"/>
      <c r="V59" s="156"/>
      <c r="W59" s="186"/>
      <c r="X59" s="148"/>
    </row>
    <row r="60" spans="1:24" ht="80.099999999999994" customHeight="1">
      <c r="A60" s="136">
        <v>56</v>
      </c>
      <c r="B60" s="152">
        <f>+Table13[[#This Row],[IMPLEMENTADO]]-30</f>
        <v>46326</v>
      </c>
      <c r="C60" s="137">
        <f>IF(YEAR(Table13[[#This Row],[IMPLEMENTADO]])="","",YEAR(Table13[[#This Row],[IMPLEMENTADO]]))</f>
        <v>2026</v>
      </c>
      <c r="D60" s="138" t="str">
        <f>IF(Table13[[#This Row],[IMPLEMENTADO]]="","",TEXT(Table13[[#This Row],[IMPLEMENTADO]],"Mmm"))</f>
        <v>nov</v>
      </c>
      <c r="E60" s="137">
        <f>DAY(Table13[[#This Row],[IMPLEMENTADO]])</f>
        <v>30</v>
      </c>
      <c r="F60" s="140" t="s">
        <v>221</v>
      </c>
      <c r="G60" s="139" t="s">
        <v>222</v>
      </c>
      <c r="H60" s="141">
        <v>46356</v>
      </c>
      <c r="I60" s="142" t="s">
        <v>52</v>
      </c>
      <c r="J60" s="142" t="s">
        <v>77</v>
      </c>
      <c r="K60" s="142" t="s">
        <v>113</v>
      </c>
      <c r="L60" s="142">
        <v>5</v>
      </c>
      <c r="M60" s="142" t="s">
        <v>55</v>
      </c>
      <c r="N60" s="187" t="s">
        <v>223</v>
      </c>
      <c r="O60" s="143"/>
      <c r="P60" s="142" t="s">
        <v>211</v>
      </c>
      <c r="Q60" s="159" t="s">
        <v>115</v>
      </c>
      <c r="R60" s="144" t="s">
        <v>6</v>
      </c>
      <c r="S60" s="142" t="s">
        <v>211</v>
      </c>
      <c r="T60" s="141"/>
      <c r="U60" s="145"/>
      <c r="V60" s="145"/>
      <c r="W60" s="186"/>
      <c r="X60" s="148"/>
    </row>
    <row r="61" spans="1:24" ht="80.099999999999994" customHeight="1">
      <c r="A61" s="136">
        <v>57</v>
      </c>
      <c r="B61" s="152">
        <f>+Table13[[#This Row],[IMPLEMENTADO]]-30</f>
        <v>46326</v>
      </c>
      <c r="C61" s="163">
        <f>IF(YEAR(Table13[[#This Row],[IMPLEMENTADO]])="","",YEAR(Table13[[#This Row],[IMPLEMENTADO]]))</f>
        <v>2026</v>
      </c>
      <c r="D61" s="138" t="str">
        <f>IF(Table13[[#This Row],[IMPLEMENTADO]]="","",TEXT(Table13[[#This Row],[IMPLEMENTADO]],"Mmm"))</f>
        <v>nov</v>
      </c>
      <c r="E61" s="163">
        <f>DAY(Table13[[#This Row],[IMPLEMENTADO]])</f>
        <v>30</v>
      </c>
      <c r="F61" s="140" t="s">
        <v>224</v>
      </c>
      <c r="G61" s="158" t="s">
        <v>441</v>
      </c>
      <c r="H61" s="141">
        <v>46356</v>
      </c>
      <c r="I61" s="142" t="s">
        <v>52</v>
      </c>
      <c r="J61" s="142" t="s">
        <v>125</v>
      </c>
      <c r="K61" s="137" t="s">
        <v>165</v>
      </c>
      <c r="L61" s="142">
        <v>2</v>
      </c>
      <c r="M61" s="142" t="s">
        <v>55</v>
      </c>
      <c r="N61" s="187" t="s">
        <v>152</v>
      </c>
      <c r="O61" s="195"/>
      <c r="P61" s="142" t="s">
        <v>167</v>
      </c>
      <c r="Q61" s="161" t="s">
        <v>2</v>
      </c>
      <c r="R61" s="144" t="s">
        <v>2</v>
      </c>
      <c r="S61" s="142" t="s">
        <v>56</v>
      </c>
      <c r="T61" s="141"/>
      <c r="U61" s="145"/>
      <c r="V61" s="145"/>
      <c r="W61" s="186"/>
      <c r="X61" s="148"/>
    </row>
    <row r="62" spans="1:24" ht="80.099999999999994" customHeight="1">
      <c r="A62" s="136">
        <v>58</v>
      </c>
      <c r="B62" s="152">
        <f>+Table13[[#This Row],[IMPLEMENTADO]]-30</f>
        <v>46326</v>
      </c>
      <c r="C62" s="163">
        <f>IF(YEAR(Table13[[#This Row],[IMPLEMENTADO]])="","",YEAR(Table13[[#This Row],[IMPLEMENTADO]]))</f>
        <v>2026</v>
      </c>
      <c r="D62" s="138" t="str">
        <f>IF(Table13[[#This Row],[IMPLEMENTADO]]="","",TEXT(Table13[[#This Row],[IMPLEMENTADO]],"Mmm"))</f>
        <v>nov</v>
      </c>
      <c r="E62" s="163">
        <f>DAY(Table13[[#This Row],[IMPLEMENTADO]])</f>
        <v>30</v>
      </c>
      <c r="F62" s="140" t="s">
        <v>225</v>
      </c>
      <c r="G62" s="149" t="s">
        <v>226</v>
      </c>
      <c r="H62" s="141">
        <v>46356</v>
      </c>
      <c r="I62" s="137" t="s">
        <v>52</v>
      </c>
      <c r="J62" s="137" t="s">
        <v>98</v>
      </c>
      <c r="K62" s="137" t="s">
        <v>188</v>
      </c>
      <c r="L62" s="137">
        <v>3</v>
      </c>
      <c r="M62" s="142" t="s">
        <v>55</v>
      </c>
      <c r="N62" s="187"/>
      <c r="O62" s="143"/>
      <c r="P62" s="142" t="s">
        <v>211</v>
      </c>
      <c r="Q62" s="161"/>
      <c r="R62" s="144"/>
      <c r="S62" s="142" t="s">
        <v>211</v>
      </c>
      <c r="T62" s="141"/>
      <c r="U62" s="145"/>
      <c r="V62" s="145"/>
      <c r="W62" s="186"/>
      <c r="X62" s="148"/>
    </row>
    <row r="63" spans="1:24" ht="80.099999999999994" customHeight="1">
      <c r="A63" s="136">
        <v>59</v>
      </c>
      <c r="B63" s="152">
        <f>+Table13[[#This Row],[IMPLEMENTADO]]-30</f>
        <v>46326</v>
      </c>
      <c r="C63" s="163">
        <f>IF(YEAR(Table13[[#This Row],[IMPLEMENTADO]])="","",YEAR(Table13[[#This Row],[IMPLEMENTADO]]))</f>
        <v>2026</v>
      </c>
      <c r="D63" s="138" t="str">
        <f>IF(Table13[[#This Row],[IMPLEMENTADO]]="","",TEXT(Table13[[#This Row],[IMPLEMENTADO]],"Mmm"))</f>
        <v>nov</v>
      </c>
      <c r="E63" s="163">
        <f>DAY(Table13[[#This Row],[IMPLEMENTADO]])</f>
        <v>30</v>
      </c>
      <c r="F63" s="140" t="s">
        <v>227</v>
      </c>
      <c r="G63" s="149" t="s">
        <v>228</v>
      </c>
      <c r="H63" s="141">
        <v>46356</v>
      </c>
      <c r="I63" s="137" t="s">
        <v>52</v>
      </c>
      <c r="J63" s="137" t="s">
        <v>229</v>
      </c>
      <c r="K63" s="137" t="s">
        <v>230</v>
      </c>
      <c r="L63" s="137">
        <v>2</v>
      </c>
      <c r="M63" s="142" t="s">
        <v>55</v>
      </c>
      <c r="N63" s="187"/>
      <c r="O63" s="189"/>
      <c r="P63" s="142" t="s">
        <v>211</v>
      </c>
      <c r="Q63" s="155" t="s">
        <v>231</v>
      </c>
      <c r="R63" s="144" t="s">
        <v>8</v>
      </c>
      <c r="S63" s="142" t="s">
        <v>211</v>
      </c>
      <c r="T63" s="141"/>
      <c r="U63" s="145"/>
      <c r="V63" s="145"/>
      <c r="W63" s="186"/>
      <c r="X63" s="148"/>
    </row>
    <row r="64" spans="1:24" ht="155.1" customHeight="1">
      <c r="A64" s="136">
        <v>60</v>
      </c>
      <c r="B64" s="152">
        <f>+Table13[[#This Row],[IMPLEMENTADO]]-30</f>
        <v>46326</v>
      </c>
      <c r="C64" s="163">
        <f>IF(YEAR(Table13[[#This Row],[IMPLEMENTADO]])="","",YEAR(Table13[[#This Row],[IMPLEMENTADO]]))</f>
        <v>2026</v>
      </c>
      <c r="D64" s="138" t="str">
        <f>IF(Table13[[#This Row],[IMPLEMENTADO]]="","",TEXT(Table13[[#This Row],[IMPLEMENTADO]],"Mmm"))</f>
        <v>nov</v>
      </c>
      <c r="E64" s="163">
        <f>DAY(Table13[[#This Row],[IMPLEMENTADO]])</f>
        <v>30</v>
      </c>
      <c r="F64" s="140" t="s">
        <v>232</v>
      </c>
      <c r="G64" s="149" t="s">
        <v>233</v>
      </c>
      <c r="H64" s="141">
        <v>46356</v>
      </c>
      <c r="I64" s="137" t="s">
        <v>52</v>
      </c>
      <c r="J64" s="137" t="s">
        <v>125</v>
      </c>
      <c r="K64" s="137" t="s">
        <v>234</v>
      </c>
      <c r="L64" s="137">
        <v>2</v>
      </c>
      <c r="M64" s="142" t="s">
        <v>55</v>
      </c>
      <c r="N64" s="187"/>
      <c r="O64" s="143"/>
      <c r="P64" s="142" t="s">
        <v>211</v>
      </c>
      <c r="Q64" s="161" t="s">
        <v>235</v>
      </c>
      <c r="R64" s="144" t="s">
        <v>10</v>
      </c>
      <c r="S64" s="142" t="s">
        <v>211</v>
      </c>
      <c r="T64" s="141"/>
      <c r="U64" s="145"/>
      <c r="V64" s="145"/>
      <c r="W64" s="186"/>
      <c r="X64" s="148"/>
    </row>
    <row r="65" spans="1:24" ht="80.099999999999994" customHeight="1">
      <c r="A65" s="136">
        <v>61</v>
      </c>
      <c r="B65" s="152">
        <f>+Table13[[#This Row],[IMPLEMENTADO]]-30</f>
        <v>46326</v>
      </c>
      <c r="C65" s="163">
        <f>IF(YEAR(Table13[[#This Row],[IMPLEMENTADO]])="","",YEAR(Table13[[#This Row],[IMPLEMENTADO]]))</f>
        <v>2026</v>
      </c>
      <c r="D65" s="138" t="str">
        <f>IF(Table13[[#This Row],[IMPLEMENTADO]]="","",TEXT(Table13[[#This Row],[IMPLEMENTADO]],"Mmm"))</f>
        <v>nov</v>
      </c>
      <c r="E65" s="163">
        <f>DAY(Table13[[#This Row],[IMPLEMENTADO]])</f>
        <v>30</v>
      </c>
      <c r="F65" s="140" t="s">
        <v>236</v>
      </c>
      <c r="G65" s="149" t="s">
        <v>237</v>
      </c>
      <c r="H65" s="141">
        <v>46356</v>
      </c>
      <c r="I65" s="137" t="s">
        <v>52</v>
      </c>
      <c r="J65" s="137" t="s">
        <v>229</v>
      </c>
      <c r="K65" s="137" t="s">
        <v>230</v>
      </c>
      <c r="L65" s="137">
        <v>2</v>
      </c>
      <c r="M65" s="142" t="s">
        <v>55</v>
      </c>
      <c r="N65" s="187"/>
      <c r="O65" s="143"/>
      <c r="P65" s="142" t="s">
        <v>211</v>
      </c>
      <c r="Q65" s="155" t="s">
        <v>238</v>
      </c>
      <c r="R65" s="144" t="s">
        <v>2</v>
      </c>
      <c r="S65" s="142" t="s">
        <v>211</v>
      </c>
      <c r="T65" s="141"/>
      <c r="U65" s="145"/>
      <c r="V65" s="145"/>
      <c r="W65" s="186"/>
      <c r="X65" s="148"/>
    </row>
    <row r="66" spans="1:24" ht="80.099999999999994" customHeight="1">
      <c r="A66" s="136">
        <v>62</v>
      </c>
      <c r="B66" s="152">
        <v>46356</v>
      </c>
      <c r="C66" s="163">
        <f>IF(YEAR(Table13[[#This Row],[IMPLEMENTADO]])="","",YEAR(Table13[[#This Row],[IMPLEMENTADO]]))</f>
        <v>2026</v>
      </c>
      <c r="D66" s="138" t="str">
        <f>IF(Table13[[#This Row],[IMPLEMENTADO]]="","",TEXT(Table13[[#This Row],[IMPLEMENTADO]],"Mmm"))</f>
        <v>nov</v>
      </c>
      <c r="E66" s="163">
        <f>DAY(Table13[[#This Row],[IMPLEMENTADO]])</f>
        <v>30</v>
      </c>
      <c r="F66" s="149" t="s">
        <v>263</v>
      </c>
      <c r="G66" s="140" t="s">
        <v>264</v>
      </c>
      <c r="H66" s="172">
        <v>46356</v>
      </c>
      <c r="I66" s="137" t="s">
        <v>52</v>
      </c>
      <c r="J66" s="137" t="s">
        <v>125</v>
      </c>
      <c r="K66" s="137" t="s">
        <v>165</v>
      </c>
      <c r="L66" s="137">
        <v>2</v>
      </c>
      <c r="M66" s="142" t="s">
        <v>55</v>
      </c>
      <c r="N66" s="171"/>
      <c r="O66" s="143"/>
      <c r="P66" s="142" t="s">
        <v>211</v>
      </c>
      <c r="Q66" s="155" t="s">
        <v>265</v>
      </c>
      <c r="R66" s="144" t="s">
        <v>2</v>
      </c>
      <c r="S66" s="173" t="s">
        <v>211</v>
      </c>
      <c r="T66" s="141"/>
      <c r="U66" s="145"/>
      <c r="V66" s="145"/>
      <c r="W66" s="186"/>
      <c r="X66" s="148"/>
    </row>
    <row r="67" spans="1:24" ht="80.099999999999994" customHeight="1">
      <c r="A67" s="136">
        <v>63</v>
      </c>
      <c r="B67" s="152">
        <v>46356</v>
      </c>
      <c r="C67" s="163">
        <f>IF(YEAR(Table13[[#This Row],[IMPLEMENTADO]])="","",YEAR(Table13[[#This Row],[IMPLEMENTADO]]))</f>
        <v>2026</v>
      </c>
      <c r="D67" s="138" t="str">
        <f>IF(Table13[[#This Row],[IMPLEMENTADO]]="","",TEXT(Table13[[#This Row],[IMPLEMENTADO]],"Mmm"))</f>
        <v>nov</v>
      </c>
      <c r="E67" s="163">
        <f>DAY(Table13[[#This Row],[IMPLEMENTADO]])</f>
        <v>30</v>
      </c>
      <c r="F67" s="140" t="s">
        <v>266</v>
      </c>
      <c r="G67" s="149" t="s">
        <v>267</v>
      </c>
      <c r="H67" s="172">
        <v>46356</v>
      </c>
      <c r="I67" s="137" t="s">
        <v>52</v>
      </c>
      <c r="J67" s="137" t="s">
        <v>77</v>
      </c>
      <c r="K67" s="137" t="s">
        <v>165</v>
      </c>
      <c r="L67" s="137">
        <v>5</v>
      </c>
      <c r="M67" s="142" t="s">
        <v>55</v>
      </c>
      <c r="N67" s="171"/>
      <c r="O67" s="143"/>
      <c r="P67" s="142" t="s">
        <v>211</v>
      </c>
      <c r="Q67" s="155" t="s">
        <v>265</v>
      </c>
      <c r="R67" s="144" t="s">
        <v>4</v>
      </c>
      <c r="S67" s="173" t="s">
        <v>211</v>
      </c>
      <c r="T67" s="141"/>
      <c r="U67" s="145"/>
      <c r="V67" s="145"/>
      <c r="W67" s="186"/>
      <c r="X67" s="148"/>
    </row>
    <row r="68" spans="1:24" ht="80.099999999999994" customHeight="1">
      <c r="A68" s="136">
        <v>64</v>
      </c>
      <c r="B68" s="152">
        <v>46366</v>
      </c>
      <c r="C68" s="163">
        <f>IF(YEAR(Table13[[#This Row],[IMPLEMENTADO]])="","",YEAR(Table13[[#This Row],[IMPLEMENTADO]]))</f>
        <v>2026</v>
      </c>
      <c r="D68" s="138" t="str">
        <f>IF(Table13[[#This Row],[IMPLEMENTADO]]="","",TEXT(Table13[[#This Row],[IMPLEMENTADO]],"Mmm"))</f>
        <v>dic</v>
      </c>
      <c r="E68" s="163">
        <f>DAY(Table13[[#This Row],[IMPLEMENTADO]])</f>
        <v>10</v>
      </c>
      <c r="F68" s="140" t="s">
        <v>268</v>
      </c>
      <c r="G68" s="149" t="s">
        <v>269</v>
      </c>
      <c r="H68" s="172">
        <v>46366</v>
      </c>
      <c r="I68" s="137" t="s">
        <v>52</v>
      </c>
      <c r="J68" s="137" t="s">
        <v>160</v>
      </c>
      <c r="K68" s="137" t="s">
        <v>270</v>
      </c>
      <c r="L68" s="137">
        <v>4</v>
      </c>
      <c r="M68" s="142" t="s">
        <v>55</v>
      </c>
      <c r="N68" s="171"/>
      <c r="O68" s="143"/>
      <c r="P68" s="142" t="s">
        <v>211</v>
      </c>
      <c r="Q68" s="155" t="s">
        <v>271</v>
      </c>
      <c r="R68" s="144" t="s">
        <v>20</v>
      </c>
      <c r="S68" s="173" t="s">
        <v>211</v>
      </c>
      <c r="T68" s="141"/>
      <c r="U68" s="145"/>
      <c r="V68" s="145"/>
      <c r="W68" s="186"/>
      <c r="X68" s="148"/>
    </row>
    <row r="69" spans="1:24" ht="80.099999999999994" customHeight="1">
      <c r="A69" s="136">
        <v>65</v>
      </c>
      <c r="B69" s="152">
        <f>+Table13[[#This Row],[IMPLEMENTADO]]-30</f>
        <v>46356</v>
      </c>
      <c r="C69" s="137">
        <f>IF(YEAR(Table13[[#This Row],[IMPLEMENTADO]])="","",YEAR(Table13[[#This Row],[IMPLEMENTADO]]))</f>
        <v>2026</v>
      </c>
      <c r="D69" s="138" t="str">
        <f>IF(Table13[[#This Row],[IMPLEMENTADO]]="","",TEXT(Table13[[#This Row],[IMPLEMENTADO]],"Mmm"))</f>
        <v>dic</v>
      </c>
      <c r="E69" s="137">
        <f>DAY(Table13[[#This Row],[IMPLEMENTADO]])</f>
        <v>30</v>
      </c>
      <c r="F69" s="149" t="s">
        <v>239</v>
      </c>
      <c r="G69" s="149" t="s">
        <v>240</v>
      </c>
      <c r="H69" s="141">
        <v>46386</v>
      </c>
      <c r="I69" s="137" t="s">
        <v>52</v>
      </c>
      <c r="J69" s="137" t="s">
        <v>160</v>
      </c>
      <c r="K69" s="137" t="s">
        <v>241</v>
      </c>
      <c r="L69" s="137">
        <v>4</v>
      </c>
      <c r="M69" s="142" t="s">
        <v>55</v>
      </c>
      <c r="N69" s="187" t="s">
        <v>242</v>
      </c>
      <c r="O69" s="143"/>
      <c r="P69" s="142" t="s">
        <v>211</v>
      </c>
      <c r="Q69" s="144" t="s">
        <v>429</v>
      </c>
      <c r="R69" s="144" t="s">
        <v>11</v>
      </c>
      <c r="S69" s="173" t="s">
        <v>211</v>
      </c>
      <c r="T69" s="141"/>
      <c r="U69" s="145"/>
      <c r="V69" s="145"/>
      <c r="W69" s="186"/>
      <c r="X69" s="148"/>
    </row>
    <row r="70" spans="1:24" ht="80.099999999999994" customHeight="1">
      <c r="A70" s="136">
        <v>66</v>
      </c>
      <c r="B70" s="152">
        <f>+Table13[[#This Row],[IMPLEMENTADO]]-30</f>
        <v>46356</v>
      </c>
      <c r="C70" s="137">
        <f>IF(YEAR(Table13[[#This Row],[IMPLEMENTADO]])="","",YEAR(Table13[[#This Row],[IMPLEMENTADO]]))</f>
        <v>2026</v>
      </c>
      <c r="D70" s="138" t="str">
        <f>IF(Table13[[#This Row],[IMPLEMENTADO]]="","",TEXT(Table13[[#This Row],[IMPLEMENTADO]],"Mmm"))</f>
        <v>dic</v>
      </c>
      <c r="E70" s="137">
        <f>DAY(Table13[[#This Row],[IMPLEMENTADO]])</f>
        <v>30</v>
      </c>
      <c r="F70" s="140" t="s">
        <v>243</v>
      </c>
      <c r="G70" s="140" t="s">
        <v>244</v>
      </c>
      <c r="H70" s="141">
        <v>46386</v>
      </c>
      <c r="I70" s="137" t="s">
        <v>52</v>
      </c>
      <c r="J70" s="137" t="s">
        <v>125</v>
      </c>
      <c r="K70" s="137" t="s">
        <v>165</v>
      </c>
      <c r="L70" s="137">
        <v>2</v>
      </c>
      <c r="M70" s="142" t="s">
        <v>55</v>
      </c>
      <c r="N70" s="187" t="s">
        <v>245</v>
      </c>
      <c r="O70" s="143"/>
      <c r="P70" s="142" t="s">
        <v>211</v>
      </c>
      <c r="Q70" s="144" t="s">
        <v>421</v>
      </c>
      <c r="R70" s="144" t="s">
        <v>11</v>
      </c>
      <c r="S70" s="173" t="s">
        <v>211</v>
      </c>
      <c r="T70" s="141"/>
      <c r="U70" s="145"/>
      <c r="V70" s="145"/>
      <c r="W70" s="151"/>
      <c r="X70" s="148"/>
    </row>
    <row r="71" spans="1:24" ht="80.099999999999994" customHeight="1">
      <c r="A71" s="136">
        <v>67</v>
      </c>
      <c r="B71" s="152">
        <f>+Table13[[#This Row],[IMPLEMENTADO]]-30</f>
        <v>46356</v>
      </c>
      <c r="C71" s="137">
        <f>IF(YEAR(Table13[[#This Row],[IMPLEMENTADO]])="","",YEAR(Table13[[#This Row],[IMPLEMENTADO]]))</f>
        <v>2026</v>
      </c>
      <c r="D71" s="138" t="str">
        <f>IF(Table13[[#This Row],[IMPLEMENTADO]]="","",TEXT(Table13[[#This Row],[IMPLEMENTADO]],"Mmm"))</f>
        <v>dic</v>
      </c>
      <c r="E71" s="137">
        <f>DAY(Table13[[#This Row],[IMPLEMENTADO]])</f>
        <v>30</v>
      </c>
      <c r="F71" s="140" t="s">
        <v>246</v>
      </c>
      <c r="G71" s="149" t="s">
        <v>247</v>
      </c>
      <c r="H71" s="141">
        <v>46386</v>
      </c>
      <c r="I71" s="137" t="s">
        <v>52</v>
      </c>
      <c r="J71" s="137" t="s">
        <v>125</v>
      </c>
      <c r="K71" s="137" t="s">
        <v>165</v>
      </c>
      <c r="L71" s="137">
        <v>2</v>
      </c>
      <c r="M71" s="142" t="s">
        <v>55</v>
      </c>
      <c r="N71" s="187" t="s">
        <v>248</v>
      </c>
      <c r="O71" s="143"/>
      <c r="P71" s="142" t="s">
        <v>211</v>
      </c>
      <c r="Q71" s="144" t="s">
        <v>422</v>
      </c>
      <c r="R71" s="144" t="s">
        <v>2</v>
      </c>
      <c r="S71" s="173" t="s">
        <v>211</v>
      </c>
      <c r="T71" s="141"/>
      <c r="U71" s="145"/>
      <c r="V71" s="145"/>
      <c r="W71" s="186"/>
      <c r="X71" s="148"/>
    </row>
    <row r="72" spans="1:24" ht="80.099999999999994" customHeight="1">
      <c r="A72" s="136">
        <v>68</v>
      </c>
      <c r="B72" s="152">
        <f>+Table13[[#This Row],[IMPLEMENTADO]]-30</f>
        <v>46356</v>
      </c>
      <c r="C72" s="163">
        <f>IF(YEAR(Table13[[#This Row],[IMPLEMENTADO]])="","",YEAR(Table13[[#This Row],[IMPLEMENTADO]]))</f>
        <v>2026</v>
      </c>
      <c r="D72" s="138" t="str">
        <f>IF(Table13[[#This Row],[IMPLEMENTADO]]="","",TEXT(Table13[[#This Row],[IMPLEMENTADO]],"Mmm"))</f>
        <v>dic</v>
      </c>
      <c r="E72" s="163">
        <f>DAY(Table13[[#This Row],[IMPLEMENTADO]])</f>
        <v>30</v>
      </c>
      <c r="F72" s="149" t="s">
        <v>249</v>
      </c>
      <c r="G72" s="149" t="s">
        <v>250</v>
      </c>
      <c r="H72" s="141">
        <v>46386</v>
      </c>
      <c r="I72" s="137" t="s">
        <v>52</v>
      </c>
      <c r="J72" s="137" t="s">
        <v>77</v>
      </c>
      <c r="K72" s="137" t="s">
        <v>77</v>
      </c>
      <c r="L72" s="137">
        <v>2</v>
      </c>
      <c r="M72" s="142" t="s">
        <v>55</v>
      </c>
      <c r="N72" s="187"/>
      <c r="O72" s="143"/>
      <c r="P72" s="142" t="s">
        <v>211</v>
      </c>
      <c r="Q72" s="155" t="s">
        <v>251</v>
      </c>
      <c r="R72" s="144" t="s">
        <v>2</v>
      </c>
      <c r="S72" s="173" t="s">
        <v>211</v>
      </c>
      <c r="T72" s="141"/>
      <c r="U72" s="145"/>
      <c r="V72" s="145"/>
      <c r="W72" s="186"/>
      <c r="X72" s="148"/>
    </row>
    <row r="73" spans="1:24" ht="80.099999999999994" customHeight="1">
      <c r="A73" s="136">
        <v>69</v>
      </c>
      <c r="B73" s="152">
        <f>+Table13[[#This Row],[IMPLEMENTADO]]-30</f>
        <v>46357</v>
      </c>
      <c r="C73" s="137">
        <f>IF(YEAR(Table13[[#This Row],[IMPLEMENTADO]])="","",YEAR(Table13[[#This Row],[IMPLEMENTADO]]))</f>
        <v>2026</v>
      </c>
      <c r="D73" s="138" t="str">
        <f>IF(Table13[[#This Row],[IMPLEMENTADO]]="","",TEXT(Table13[[#This Row],[IMPLEMENTADO]],"Mmm"))</f>
        <v>dic</v>
      </c>
      <c r="E73" s="137">
        <f>DAY(Table13[[#This Row],[IMPLEMENTADO]])</f>
        <v>31</v>
      </c>
      <c r="F73" s="149" t="s">
        <v>252</v>
      </c>
      <c r="G73" s="140" t="s">
        <v>253</v>
      </c>
      <c r="H73" s="141">
        <v>46387</v>
      </c>
      <c r="I73" s="137" t="s">
        <v>52</v>
      </c>
      <c r="J73" s="137" t="s">
        <v>160</v>
      </c>
      <c r="K73" s="137" t="s">
        <v>190</v>
      </c>
      <c r="L73" s="137">
        <v>4</v>
      </c>
      <c r="M73" s="142" t="s">
        <v>55</v>
      </c>
      <c r="N73" s="187" t="s">
        <v>254</v>
      </c>
      <c r="O73" s="143"/>
      <c r="P73" s="142" t="s">
        <v>211</v>
      </c>
      <c r="Q73" s="144" t="s">
        <v>430</v>
      </c>
      <c r="R73" s="144" t="s">
        <v>7</v>
      </c>
      <c r="S73" s="173" t="s">
        <v>211</v>
      </c>
      <c r="T73" s="141"/>
      <c r="U73" s="145"/>
      <c r="V73" s="145"/>
      <c r="W73" s="186"/>
      <c r="X73" s="148"/>
    </row>
    <row r="74" spans="1:24" ht="80.099999999999994" customHeight="1">
      <c r="A74" s="136">
        <v>70</v>
      </c>
      <c r="B74" s="152">
        <f>+Table13[[#This Row],[IMPLEMENTADO]]-30</f>
        <v>46357</v>
      </c>
      <c r="C74" s="163">
        <f>IF(YEAR(Table13[[#This Row],[IMPLEMENTADO]])="","",YEAR(Table13[[#This Row],[IMPLEMENTADO]]))</f>
        <v>2026</v>
      </c>
      <c r="D74" s="138" t="str">
        <f>IF(Table13[[#This Row],[IMPLEMENTADO]]="","",TEXT(Table13[[#This Row],[IMPLEMENTADO]],"Mmm"))</f>
        <v>dic</v>
      </c>
      <c r="E74" s="163">
        <f>DAY(Table13[[#This Row],[IMPLEMENTADO]])</f>
        <v>31</v>
      </c>
      <c r="F74" s="149" t="s">
        <v>255</v>
      </c>
      <c r="G74" s="246" t="s">
        <v>256</v>
      </c>
      <c r="H74" s="141">
        <v>46387</v>
      </c>
      <c r="I74" s="137" t="s">
        <v>52</v>
      </c>
      <c r="J74" s="137" t="s">
        <v>125</v>
      </c>
      <c r="K74" s="169" t="s">
        <v>257</v>
      </c>
      <c r="L74" s="169">
        <v>2</v>
      </c>
      <c r="M74" s="142" t="s">
        <v>55</v>
      </c>
      <c r="N74" s="187"/>
      <c r="O74" s="143"/>
      <c r="P74" s="142" t="s">
        <v>211</v>
      </c>
      <c r="Q74" s="161"/>
      <c r="R74" s="144"/>
      <c r="S74" s="173" t="s">
        <v>211</v>
      </c>
      <c r="T74" s="141"/>
      <c r="U74" s="145"/>
      <c r="V74" s="145"/>
      <c r="W74" s="186"/>
      <c r="X74" s="148"/>
    </row>
    <row r="75" spans="1:24" ht="80.099999999999994" customHeight="1">
      <c r="A75" s="136">
        <v>71</v>
      </c>
      <c r="B75" s="152">
        <f>+Table13[[#This Row],[IMPLEMENTADO]]-30</f>
        <v>46357</v>
      </c>
      <c r="C75" s="163">
        <f>IF(YEAR(Table13[[#This Row],[IMPLEMENTADO]])="","",YEAR(Table13[[#This Row],[IMPLEMENTADO]]))</f>
        <v>2026</v>
      </c>
      <c r="D75" s="138" t="str">
        <f>IF(Table13[[#This Row],[IMPLEMENTADO]]="","",TEXT(Table13[[#This Row],[IMPLEMENTADO]],"Mmm"))</f>
        <v>dic</v>
      </c>
      <c r="E75" s="163">
        <f>DAY(Table13[[#This Row],[IMPLEMENTADO]])</f>
        <v>31</v>
      </c>
      <c r="F75" s="140" t="s">
        <v>258</v>
      </c>
      <c r="G75" s="246" t="s">
        <v>259</v>
      </c>
      <c r="H75" s="141">
        <v>46387</v>
      </c>
      <c r="I75" s="137" t="s">
        <v>52</v>
      </c>
      <c r="J75" s="137" t="s">
        <v>98</v>
      </c>
      <c r="K75" s="137" t="s">
        <v>188</v>
      </c>
      <c r="L75" s="137">
        <v>3</v>
      </c>
      <c r="M75" s="142" t="s">
        <v>55</v>
      </c>
      <c r="N75" s="187"/>
      <c r="O75" s="143"/>
      <c r="P75" s="142" t="s">
        <v>211</v>
      </c>
      <c r="Q75" s="155" t="s">
        <v>260</v>
      </c>
      <c r="R75" s="144" t="s">
        <v>0</v>
      </c>
      <c r="S75" s="173" t="s">
        <v>211</v>
      </c>
      <c r="T75" s="141"/>
      <c r="U75" s="145"/>
      <c r="V75" s="145"/>
      <c r="W75" s="186"/>
      <c r="X75" s="148"/>
    </row>
    <row r="76" spans="1:24" ht="80.099999999999994" customHeight="1">
      <c r="A76" s="136">
        <v>74</v>
      </c>
      <c r="B76" s="152"/>
      <c r="C76" s="163">
        <f>IF(YEAR(Table13[[#This Row],[IMPLEMENTADO]])="","",YEAR(Table13[[#This Row],[IMPLEMENTADO]]))</f>
        <v>1900</v>
      </c>
      <c r="D76" s="138" t="str">
        <f>IF(Table13[[#This Row],[IMPLEMENTADO]]="","",TEXT(Table13[[#This Row],[IMPLEMENTADO]],"Mmm"))</f>
        <v/>
      </c>
      <c r="E76" s="163">
        <f>DAY(Table13[[#This Row],[IMPLEMENTADO]])</f>
        <v>0</v>
      </c>
      <c r="F76" s="140"/>
      <c r="G76" s="140"/>
      <c r="H76" s="172"/>
      <c r="I76" s="137"/>
      <c r="J76" s="137"/>
      <c r="K76" s="137"/>
      <c r="L76" s="137"/>
      <c r="M76" s="137"/>
      <c r="N76" s="171"/>
      <c r="O76" s="143"/>
      <c r="P76" s="142"/>
      <c r="Q76" s="161"/>
      <c r="R76" s="144"/>
      <c r="S76" s="173"/>
      <c r="T76" s="141"/>
      <c r="U76" s="145"/>
      <c r="V76" s="145"/>
      <c r="W76" s="146"/>
      <c r="X76" s="148"/>
    </row>
    <row r="77" spans="1:24" ht="80.099999999999994" customHeight="1">
      <c r="A77" s="136">
        <v>75</v>
      </c>
      <c r="B77" s="152"/>
      <c r="C77" s="163">
        <f>IF(YEAR(Table13[[#This Row],[IMPLEMENTADO]])="","",YEAR(Table13[[#This Row],[IMPLEMENTADO]]))</f>
        <v>1900</v>
      </c>
      <c r="D77" s="138" t="str">
        <f>IF(Table13[[#This Row],[IMPLEMENTADO]]="","",TEXT(Table13[[#This Row],[IMPLEMENTADO]],"Mmm"))</f>
        <v/>
      </c>
      <c r="E77" s="163">
        <f>DAY(Table13[[#This Row],[IMPLEMENTADO]])</f>
        <v>0</v>
      </c>
      <c r="F77" s="140"/>
      <c r="G77" s="140"/>
      <c r="H77" s="172"/>
      <c r="I77" s="137"/>
      <c r="J77" s="137"/>
      <c r="K77" s="137"/>
      <c r="L77" s="137"/>
      <c r="M77" s="137"/>
      <c r="N77" s="171"/>
      <c r="O77" s="143"/>
      <c r="P77" s="142"/>
      <c r="Q77" s="161"/>
      <c r="R77" s="144"/>
      <c r="S77" s="173"/>
      <c r="T77" s="141"/>
      <c r="U77" s="145"/>
      <c r="V77" s="145"/>
      <c r="W77" s="146"/>
      <c r="X77" s="148"/>
    </row>
    <row r="78" spans="1:24" ht="80.099999999999994" customHeight="1">
      <c r="A78" s="136">
        <v>76</v>
      </c>
      <c r="B78" s="152"/>
      <c r="C78" s="163">
        <f>IF(YEAR(Table13[[#This Row],[IMPLEMENTADO]])="","",YEAR(Table13[[#This Row],[IMPLEMENTADO]]))</f>
        <v>1900</v>
      </c>
      <c r="D78" s="138" t="str">
        <f>IF(Table13[[#This Row],[IMPLEMENTADO]]="","",TEXT(Table13[[#This Row],[IMPLEMENTADO]],"Mmm"))</f>
        <v/>
      </c>
      <c r="E78" s="163">
        <f>DAY(Table13[[#This Row],[IMPLEMENTADO]])</f>
        <v>0</v>
      </c>
      <c r="F78" s="140"/>
      <c r="G78" s="140"/>
      <c r="H78" s="172"/>
      <c r="I78" s="137"/>
      <c r="J78" s="137"/>
      <c r="K78" s="137"/>
      <c r="L78" s="137"/>
      <c r="M78" s="137"/>
      <c r="N78" s="171"/>
      <c r="O78" s="143"/>
      <c r="P78" s="142"/>
      <c r="Q78" s="161"/>
      <c r="R78" s="144"/>
      <c r="S78" s="173"/>
      <c r="T78" s="141"/>
      <c r="U78" s="145"/>
      <c r="V78" s="145"/>
      <c r="W78" s="146"/>
      <c r="X78" s="148"/>
    </row>
    <row r="79" spans="1:24" ht="80.099999999999994" customHeight="1">
      <c r="A79" s="136">
        <v>77</v>
      </c>
      <c r="B79" s="152"/>
      <c r="C79" s="163">
        <f>IF(YEAR(Table13[[#This Row],[IMPLEMENTADO]])="","",YEAR(Table13[[#This Row],[IMPLEMENTADO]]))</f>
        <v>1900</v>
      </c>
      <c r="D79" s="138" t="str">
        <f>IF(Table13[[#This Row],[IMPLEMENTADO]]="","",TEXT(Table13[[#This Row],[IMPLEMENTADO]],"Mmm"))</f>
        <v/>
      </c>
      <c r="E79" s="163">
        <f>DAY(Table13[[#This Row],[IMPLEMENTADO]])</f>
        <v>0</v>
      </c>
      <c r="F79" s="140"/>
      <c r="G79" s="140"/>
      <c r="H79" s="172"/>
      <c r="I79" s="137"/>
      <c r="J79" s="137"/>
      <c r="K79" s="137"/>
      <c r="L79" s="137"/>
      <c r="M79" s="137"/>
      <c r="N79" s="171"/>
      <c r="O79" s="143"/>
      <c r="P79" s="142"/>
      <c r="Q79" s="161"/>
      <c r="R79" s="144"/>
      <c r="S79" s="173"/>
      <c r="T79" s="141"/>
      <c r="U79" s="145"/>
      <c r="V79" s="145"/>
      <c r="W79" s="146"/>
      <c r="X79" s="148"/>
    </row>
    <row r="80" spans="1:24" ht="80.099999999999994" customHeight="1">
      <c r="A80" s="136">
        <v>78</v>
      </c>
      <c r="B80" s="152"/>
      <c r="C80" s="163">
        <f>IF(YEAR(Table13[[#This Row],[IMPLEMENTADO]])="","",YEAR(Table13[[#This Row],[IMPLEMENTADO]]))</f>
        <v>1900</v>
      </c>
      <c r="D80" s="138" t="str">
        <f>IF(Table13[[#This Row],[IMPLEMENTADO]]="","",TEXT(Table13[[#This Row],[IMPLEMENTADO]],"Mmm"))</f>
        <v/>
      </c>
      <c r="E80" s="163">
        <f>DAY(Table13[[#This Row],[IMPLEMENTADO]])</f>
        <v>0</v>
      </c>
      <c r="F80" s="140"/>
      <c r="G80" s="140"/>
      <c r="H80" s="172"/>
      <c r="I80" s="137"/>
      <c r="J80" s="137"/>
      <c r="K80" s="137"/>
      <c r="L80" s="137"/>
      <c r="M80" s="137"/>
      <c r="N80" s="171"/>
      <c r="O80" s="143"/>
      <c r="P80" s="142"/>
      <c r="Q80" s="161"/>
      <c r="R80" s="144"/>
      <c r="S80" s="173"/>
      <c r="T80" s="141"/>
      <c r="U80" s="145"/>
      <c r="V80" s="145"/>
      <c r="W80" s="146"/>
      <c r="X80" s="148"/>
    </row>
    <row r="81" spans="1:24" ht="80.099999999999994" customHeight="1">
      <c r="A81" s="136">
        <v>79</v>
      </c>
      <c r="B81" s="152"/>
      <c r="C81" s="163">
        <f>IF(YEAR(Table13[[#This Row],[IMPLEMENTADO]])="","",YEAR(Table13[[#This Row],[IMPLEMENTADO]]))</f>
        <v>1900</v>
      </c>
      <c r="D81" s="138" t="str">
        <f>IF(Table13[[#This Row],[IMPLEMENTADO]]="","",TEXT(Table13[[#This Row],[IMPLEMENTADO]],"Mmm"))</f>
        <v/>
      </c>
      <c r="E81" s="163">
        <f>DAY(Table13[[#This Row],[IMPLEMENTADO]])</f>
        <v>0</v>
      </c>
      <c r="F81" s="140"/>
      <c r="G81" s="140"/>
      <c r="H81" s="172"/>
      <c r="I81" s="137"/>
      <c r="J81" s="137"/>
      <c r="K81" s="137"/>
      <c r="L81" s="137"/>
      <c r="M81" s="137"/>
      <c r="N81" s="171"/>
      <c r="O81" s="143"/>
      <c r="P81" s="142"/>
      <c r="Q81" s="161"/>
      <c r="R81" s="144"/>
      <c r="S81" s="173"/>
      <c r="T81" s="141"/>
      <c r="U81" s="145"/>
      <c r="V81" s="145"/>
      <c r="W81" s="146"/>
      <c r="X81" s="148"/>
    </row>
    <row r="82" spans="1:24" ht="80.099999999999994" customHeight="1">
      <c r="A82" s="136">
        <v>80</v>
      </c>
      <c r="B82" s="152"/>
      <c r="C82" s="163">
        <f>IF(YEAR(Table13[[#This Row],[IMPLEMENTADO]])="","",YEAR(Table13[[#This Row],[IMPLEMENTADO]]))</f>
        <v>1900</v>
      </c>
      <c r="D82" s="138" t="str">
        <f>IF(Table13[[#This Row],[IMPLEMENTADO]]="","",TEXT(Table13[[#This Row],[IMPLEMENTADO]],"Mmm"))</f>
        <v/>
      </c>
      <c r="E82" s="163">
        <f>DAY(Table13[[#This Row],[IMPLEMENTADO]])</f>
        <v>0</v>
      </c>
      <c r="F82" s="140"/>
      <c r="G82" s="140"/>
      <c r="H82" s="172"/>
      <c r="I82" s="137"/>
      <c r="J82" s="137"/>
      <c r="K82" s="137"/>
      <c r="L82" s="137"/>
      <c r="M82" s="137"/>
      <c r="N82" s="171"/>
      <c r="O82" s="143"/>
      <c r="P82" s="142"/>
      <c r="Q82" s="161"/>
      <c r="R82" s="144"/>
      <c r="S82" s="173"/>
      <c r="T82" s="141"/>
      <c r="U82" s="145"/>
      <c r="V82" s="145"/>
      <c r="W82" s="146"/>
      <c r="X82" s="148"/>
    </row>
    <row r="83" spans="1:24" ht="80.099999999999994" customHeight="1">
      <c r="A83" s="136">
        <v>81</v>
      </c>
      <c r="B83" s="152"/>
      <c r="C83" s="163">
        <f>IF(YEAR(Table13[[#This Row],[IMPLEMENTADO]])="","",YEAR(Table13[[#This Row],[IMPLEMENTADO]]))</f>
        <v>1900</v>
      </c>
      <c r="D83" s="138" t="str">
        <f>IF(Table13[[#This Row],[IMPLEMENTADO]]="","",TEXT(Table13[[#This Row],[IMPLEMENTADO]],"Mmm"))</f>
        <v/>
      </c>
      <c r="E83" s="163">
        <f>DAY(Table13[[#This Row],[IMPLEMENTADO]])</f>
        <v>0</v>
      </c>
      <c r="F83" s="140"/>
      <c r="G83" s="140"/>
      <c r="H83" s="172"/>
      <c r="I83" s="137"/>
      <c r="J83" s="137"/>
      <c r="K83" s="137"/>
      <c r="L83" s="137"/>
      <c r="M83" s="137"/>
      <c r="N83" s="171"/>
      <c r="O83" s="143"/>
      <c r="P83" s="142"/>
      <c r="Q83" s="161"/>
      <c r="R83" s="144"/>
      <c r="S83" s="173"/>
      <c r="T83" s="141"/>
      <c r="U83" s="145"/>
      <c r="V83" s="145"/>
      <c r="W83" s="146"/>
      <c r="X83" s="148"/>
    </row>
    <row r="84" spans="1:24" ht="80.099999999999994" customHeight="1">
      <c r="A84" s="136">
        <v>82</v>
      </c>
      <c r="B84" s="152"/>
      <c r="C84" s="163">
        <f>IF(YEAR(Table13[[#This Row],[IMPLEMENTADO]])="","",YEAR(Table13[[#This Row],[IMPLEMENTADO]]))</f>
        <v>1900</v>
      </c>
      <c r="D84" s="138" t="str">
        <f>IF(Table13[[#This Row],[IMPLEMENTADO]]="","",TEXT(Table13[[#This Row],[IMPLEMENTADO]],"Mmm"))</f>
        <v/>
      </c>
      <c r="E84" s="163">
        <f>DAY(Table13[[#This Row],[IMPLEMENTADO]])</f>
        <v>0</v>
      </c>
      <c r="F84" s="140"/>
      <c r="G84" s="140"/>
      <c r="H84" s="172"/>
      <c r="I84" s="137"/>
      <c r="J84" s="137"/>
      <c r="K84" s="137"/>
      <c r="L84" s="137"/>
      <c r="M84" s="137"/>
      <c r="N84" s="171"/>
      <c r="O84" s="143"/>
      <c r="P84" s="142"/>
      <c r="Q84" s="161"/>
      <c r="R84" s="144"/>
      <c r="S84" s="173"/>
      <c r="T84" s="141"/>
      <c r="U84" s="145"/>
      <c r="V84" s="145"/>
      <c r="W84" s="146"/>
      <c r="X84" s="148"/>
    </row>
    <row r="85" spans="1:24" ht="80.099999999999994" customHeight="1">
      <c r="A85" s="136">
        <v>83</v>
      </c>
      <c r="B85" s="152"/>
      <c r="C85" s="163">
        <f>IF(YEAR(Table13[[#This Row],[IMPLEMENTADO]])="","",YEAR(Table13[[#This Row],[IMPLEMENTADO]]))</f>
        <v>1900</v>
      </c>
      <c r="D85" s="138" t="str">
        <f>IF(Table13[[#This Row],[IMPLEMENTADO]]="","",TEXT(Table13[[#This Row],[IMPLEMENTADO]],"Mmm"))</f>
        <v/>
      </c>
      <c r="E85" s="163">
        <f>DAY(Table13[[#This Row],[IMPLEMENTADO]])</f>
        <v>0</v>
      </c>
      <c r="F85" s="140"/>
      <c r="G85" s="140"/>
      <c r="H85" s="172"/>
      <c r="I85" s="137"/>
      <c r="J85" s="137"/>
      <c r="K85" s="137"/>
      <c r="L85" s="137"/>
      <c r="M85" s="137"/>
      <c r="N85" s="171"/>
      <c r="O85" s="143"/>
      <c r="P85" s="142"/>
      <c r="Q85" s="161"/>
      <c r="R85" s="144"/>
      <c r="S85" s="173"/>
      <c r="T85" s="141"/>
      <c r="U85" s="145"/>
      <c r="V85" s="145"/>
      <c r="W85" s="146"/>
      <c r="X85" s="148"/>
    </row>
    <row r="86" spans="1:24" ht="80.099999999999994" customHeight="1">
      <c r="A86" s="136">
        <v>84</v>
      </c>
      <c r="B86" s="152"/>
      <c r="C86" s="163">
        <f>IF(YEAR(Table13[[#This Row],[IMPLEMENTADO]])="","",YEAR(Table13[[#This Row],[IMPLEMENTADO]]))</f>
        <v>1900</v>
      </c>
      <c r="D86" s="138" t="str">
        <f>IF(Table13[[#This Row],[IMPLEMENTADO]]="","",TEXT(Table13[[#This Row],[IMPLEMENTADO]],"Mmm"))</f>
        <v/>
      </c>
      <c r="E86" s="163">
        <f>DAY(Table13[[#This Row],[IMPLEMENTADO]])</f>
        <v>0</v>
      </c>
      <c r="F86" s="140"/>
      <c r="G86" s="140"/>
      <c r="H86" s="172"/>
      <c r="I86" s="137"/>
      <c r="J86" s="137"/>
      <c r="K86" s="137"/>
      <c r="L86" s="137"/>
      <c r="M86" s="137"/>
      <c r="N86" s="171"/>
      <c r="O86" s="143"/>
      <c r="P86" s="142"/>
      <c r="Q86" s="161"/>
      <c r="R86" s="144"/>
      <c r="S86" s="173"/>
      <c r="T86" s="141"/>
      <c r="U86" s="145"/>
      <c r="V86" s="145"/>
      <c r="W86" s="146"/>
      <c r="X86" s="148"/>
    </row>
    <row r="87" spans="1:24" ht="80.099999999999994" customHeight="1">
      <c r="A87" s="136">
        <v>85</v>
      </c>
      <c r="B87" s="152"/>
      <c r="C87" s="163">
        <f>IF(YEAR(Table13[[#This Row],[IMPLEMENTADO]])="","",YEAR(Table13[[#This Row],[IMPLEMENTADO]]))</f>
        <v>1900</v>
      </c>
      <c r="D87" s="138" t="str">
        <f>IF(Table13[[#This Row],[IMPLEMENTADO]]="","",TEXT(Table13[[#This Row],[IMPLEMENTADO]],"Mmm"))</f>
        <v/>
      </c>
      <c r="E87" s="163">
        <f>DAY(Table13[[#This Row],[IMPLEMENTADO]])</f>
        <v>0</v>
      </c>
      <c r="F87" s="140"/>
      <c r="G87" s="140"/>
      <c r="H87" s="172"/>
      <c r="I87" s="137"/>
      <c r="J87" s="137"/>
      <c r="K87" s="137"/>
      <c r="L87" s="137"/>
      <c r="M87" s="137"/>
      <c r="N87" s="171"/>
      <c r="O87" s="143"/>
      <c r="P87" s="142"/>
      <c r="Q87" s="161"/>
      <c r="R87" s="144"/>
      <c r="S87" s="173"/>
      <c r="T87" s="141"/>
      <c r="U87" s="145"/>
      <c r="V87" s="145"/>
      <c r="W87" s="146"/>
      <c r="X87" s="148"/>
    </row>
    <row r="88" spans="1:24" ht="80.099999999999994" customHeight="1">
      <c r="A88" s="136">
        <v>86</v>
      </c>
      <c r="B88" s="152"/>
      <c r="C88" s="163">
        <f>IF(YEAR(Table13[[#This Row],[IMPLEMENTADO]])="","",YEAR(Table13[[#This Row],[IMPLEMENTADO]]))</f>
        <v>1900</v>
      </c>
      <c r="D88" s="138" t="str">
        <f>IF(Table13[[#This Row],[IMPLEMENTADO]]="","",TEXT(Table13[[#This Row],[IMPLEMENTADO]],"Mmm"))</f>
        <v/>
      </c>
      <c r="E88" s="163">
        <f>DAY(Table13[[#This Row],[IMPLEMENTADO]])</f>
        <v>0</v>
      </c>
      <c r="F88" s="140"/>
      <c r="G88" s="140"/>
      <c r="H88" s="172"/>
      <c r="I88" s="137"/>
      <c r="J88" s="137"/>
      <c r="K88" s="137"/>
      <c r="L88" s="137"/>
      <c r="M88" s="137"/>
      <c r="N88" s="171"/>
      <c r="O88" s="143"/>
      <c r="P88" s="142"/>
      <c r="Q88" s="161"/>
      <c r="R88" s="144"/>
      <c r="S88" s="173"/>
      <c r="T88" s="141"/>
      <c r="U88" s="145"/>
      <c r="V88" s="145"/>
      <c r="W88" s="146"/>
      <c r="X88" s="148"/>
    </row>
    <row r="89" spans="1:24" ht="80.099999999999994" customHeight="1">
      <c r="A89" s="136">
        <v>87</v>
      </c>
      <c r="B89" s="152"/>
      <c r="C89" s="163">
        <f>IF(YEAR(Table13[[#This Row],[IMPLEMENTADO]])="","",YEAR(Table13[[#This Row],[IMPLEMENTADO]]))</f>
        <v>1900</v>
      </c>
      <c r="D89" s="138" t="str">
        <f>IF(Table13[[#This Row],[IMPLEMENTADO]]="","",TEXT(Table13[[#This Row],[IMPLEMENTADO]],"Mmm"))</f>
        <v/>
      </c>
      <c r="E89" s="163">
        <f>DAY(Table13[[#This Row],[IMPLEMENTADO]])</f>
        <v>0</v>
      </c>
      <c r="F89" s="140"/>
      <c r="G89" s="140"/>
      <c r="H89" s="172"/>
      <c r="I89" s="137"/>
      <c r="J89" s="137"/>
      <c r="K89" s="137"/>
      <c r="L89" s="137"/>
      <c r="M89" s="137"/>
      <c r="N89" s="171"/>
      <c r="O89" s="143"/>
      <c r="P89" s="142"/>
      <c r="Q89" s="161"/>
      <c r="R89" s="144"/>
      <c r="S89" s="173"/>
      <c r="T89" s="141"/>
      <c r="U89" s="145"/>
      <c r="V89" s="145"/>
      <c r="W89" s="146"/>
      <c r="X89" s="148"/>
    </row>
    <row r="90" spans="1:24" ht="80.099999999999994" customHeight="1">
      <c r="A90" s="136">
        <v>88</v>
      </c>
      <c r="B90" s="152"/>
      <c r="C90" s="163">
        <f>IF(YEAR(Table13[[#This Row],[IMPLEMENTADO]])="","",YEAR(Table13[[#This Row],[IMPLEMENTADO]]))</f>
        <v>1900</v>
      </c>
      <c r="D90" s="138" t="str">
        <f>IF(Table13[[#This Row],[IMPLEMENTADO]]="","",TEXT(Table13[[#This Row],[IMPLEMENTADO]],"Mmm"))</f>
        <v/>
      </c>
      <c r="E90" s="163">
        <f>DAY(Table13[[#This Row],[IMPLEMENTADO]])</f>
        <v>0</v>
      </c>
      <c r="F90" s="140"/>
      <c r="G90" s="140"/>
      <c r="H90" s="172"/>
      <c r="I90" s="137"/>
      <c r="J90" s="137"/>
      <c r="K90" s="137"/>
      <c r="L90" s="137"/>
      <c r="M90" s="137"/>
      <c r="N90" s="171"/>
      <c r="O90" s="143"/>
      <c r="P90" s="142"/>
      <c r="Q90" s="161"/>
      <c r="R90" s="144"/>
      <c r="S90" s="173"/>
      <c r="T90" s="141"/>
      <c r="U90" s="145"/>
      <c r="V90" s="145"/>
      <c r="W90" s="146"/>
      <c r="X90" s="148"/>
    </row>
    <row r="91" spans="1:24" ht="80.099999999999994" customHeight="1">
      <c r="A91" s="136">
        <v>89</v>
      </c>
      <c r="B91" s="152"/>
      <c r="C91" s="163">
        <f>IF(YEAR(Table13[[#This Row],[IMPLEMENTADO]])="","",YEAR(Table13[[#This Row],[IMPLEMENTADO]]))</f>
        <v>1900</v>
      </c>
      <c r="D91" s="138" t="str">
        <f>IF(Table13[[#This Row],[IMPLEMENTADO]]="","",TEXT(Table13[[#This Row],[IMPLEMENTADO]],"Mmm"))</f>
        <v/>
      </c>
      <c r="E91" s="163">
        <f>DAY(Table13[[#This Row],[IMPLEMENTADO]])</f>
        <v>0</v>
      </c>
      <c r="F91" s="140"/>
      <c r="G91" s="140"/>
      <c r="H91" s="172"/>
      <c r="I91" s="137"/>
      <c r="J91" s="137"/>
      <c r="K91" s="137"/>
      <c r="L91" s="137"/>
      <c r="M91" s="137"/>
      <c r="N91" s="171"/>
      <c r="O91" s="143"/>
      <c r="P91" s="142"/>
      <c r="Q91" s="161"/>
      <c r="R91" s="144"/>
      <c r="S91" s="173"/>
      <c r="T91" s="141"/>
      <c r="U91" s="145"/>
      <c r="V91" s="145"/>
      <c r="W91" s="146"/>
      <c r="X91" s="148"/>
    </row>
    <row r="92" spans="1:24" ht="80.099999999999994" customHeight="1">
      <c r="A92" s="136">
        <v>90</v>
      </c>
      <c r="B92" s="152"/>
      <c r="C92" s="163">
        <f>IF(YEAR(Table13[[#This Row],[IMPLEMENTADO]])="","",YEAR(Table13[[#This Row],[IMPLEMENTADO]]))</f>
        <v>1900</v>
      </c>
      <c r="D92" s="138" t="str">
        <f>IF(Table13[[#This Row],[IMPLEMENTADO]]="","",TEXT(Table13[[#This Row],[IMPLEMENTADO]],"Mmm"))</f>
        <v/>
      </c>
      <c r="E92" s="163">
        <f>DAY(Table13[[#This Row],[IMPLEMENTADO]])</f>
        <v>0</v>
      </c>
      <c r="F92" s="140"/>
      <c r="G92" s="140"/>
      <c r="H92" s="172"/>
      <c r="I92" s="137"/>
      <c r="J92" s="137"/>
      <c r="K92" s="137"/>
      <c r="L92" s="137"/>
      <c r="M92" s="137"/>
      <c r="N92" s="171"/>
      <c r="O92" s="143"/>
      <c r="P92" s="142"/>
      <c r="Q92" s="161"/>
      <c r="R92" s="144"/>
      <c r="S92" s="173"/>
      <c r="T92" s="141"/>
      <c r="U92" s="145"/>
      <c r="V92" s="145"/>
      <c r="W92" s="146"/>
      <c r="X92" s="148"/>
    </row>
    <row r="93" spans="1:24" ht="80.099999999999994" customHeight="1">
      <c r="A93" s="136">
        <v>91</v>
      </c>
      <c r="B93" s="152"/>
      <c r="C93" s="163">
        <f>IF(YEAR(Table13[[#This Row],[IMPLEMENTADO]])="","",YEAR(Table13[[#This Row],[IMPLEMENTADO]]))</f>
        <v>1900</v>
      </c>
      <c r="D93" s="138" t="str">
        <f>IF(Table13[[#This Row],[IMPLEMENTADO]]="","",TEXT(Table13[[#This Row],[IMPLEMENTADO]],"Mmm"))</f>
        <v/>
      </c>
      <c r="E93" s="163">
        <f>DAY(Table13[[#This Row],[IMPLEMENTADO]])</f>
        <v>0</v>
      </c>
      <c r="F93" s="140"/>
      <c r="G93" s="140"/>
      <c r="H93" s="172"/>
      <c r="I93" s="137"/>
      <c r="J93" s="137"/>
      <c r="K93" s="137"/>
      <c r="L93" s="137"/>
      <c r="M93" s="137"/>
      <c r="N93" s="171"/>
      <c r="O93" s="143"/>
      <c r="P93" s="142"/>
      <c r="Q93" s="161"/>
      <c r="R93" s="144"/>
      <c r="S93" s="173"/>
      <c r="T93" s="141"/>
      <c r="U93" s="145"/>
      <c r="V93" s="145"/>
      <c r="W93" s="146"/>
      <c r="X93" s="148"/>
    </row>
    <row r="94" spans="1:24" ht="80.099999999999994" customHeight="1">
      <c r="A94" s="136">
        <v>92</v>
      </c>
      <c r="B94" s="152"/>
      <c r="C94" s="163">
        <f>IF(YEAR(Table13[[#This Row],[IMPLEMENTADO]])="","",YEAR(Table13[[#This Row],[IMPLEMENTADO]]))</f>
        <v>1900</v>
      </c>
      <c r="D94" s="138" t="str">
        <f>IF(Table13[[#This Row],[IMPLEMENTADO]]="","",TEXT(Table13[[#This Row],[IMPLEMENTADO]],"Mmm"))</f>
        <v/>
      </c>
      <c r="E94" s="163">
        <f>DAY(Table13[[#This Row],[IMPLEMENTADO]])</f>
        <v>0</v>
      </c>
      <c r="F94" s="140"/>
      <c r="G94" s="140"/>
      <c r="H94" s="172"/>
      <c r="I94" s="137"/>
      <c r="J94" s="137"/>
      <c r="K94" s="137"/>
      <c r="L94" s="137"/>
      <c r="M94" s="137"/>
      <c r="N94" s="171"/>
      <c r="O94" s="143"/>
      <c r="P94" s="142"/>
      <c r="Q94" s="161"/>
      <c r="R94" s="144"/>
      <c r="S94" s="173"/>
      <c r="T94" s="141"/>
      <c r="U94" s="145"/>
      <c r="V94" s="145"/>
      <c r="W94" s="146"/>
      <c r="X94" s="148"/>
    </row>
    <row r="95" spans="1:24" ht="80.099999999999994" customHeight="1">
      <c r="A95" s="136">
        <v>93</v>
      </c>
      <c r="B95" s="152"/>
      <c r="C95" s="163">
        <f>IF(YEAR(Table13[[#This Row],[IMPLEMENTADO]])="","",YEAR(Table13[[#This Row],[IMPLEMENTADO]]))</f>
        <v>1900</v>
      </c>
      <c r="D95" s="138" t="str">
        <f>IF(Table13[[#This Row],[IMPLEMENTADO]]="","",TEXT(Table13[[#This Row],[IMPLEMENTADO]],"Mmm"))</f>
        <v/>
      </c>
      <c r="E95" s="163">
        <f>DAY(Table13[[#This Row],[IMPLEMENTADO]])</f>
        <v>0</v>
      </c>
      <c r="F95" s="140"/>
      <c r="G95" s="140"/>
      <c r="H95" s="172"/>
      <c r="I95" s="137"/>
      <c r="J95" s="137"/>
      <c r="K95" s="137"/>
      <c r="L95" s="137"/>
      <c r="M95" s="137"/>
      <c r="N95" s="171"/>
      <c r="O95" s="143"/>
      <c r="P95" s="142"/>
      <c r="Q95" s="161"/>
      <c r="R95" s="144"/>
      <c r="S95" s="173"/>
      <c r="T95" s="141"/>
      <c r="U95" s="145"/>
      <c r="V95" s="145"/>
      <c r="W95" s="146"/>
      <c r="X95" s="148"/>
    </row>
    <row r="96" spans="1:24" ht="80.099999999999994" customHeight="1">
      <c r="A96" s="136">
        <v>94</v>
      </c>
      <c r="B96" s="152"/>
      <c r="C96" s="163">
        <f>IF(YEAR(Table13[[#This Row],[IMPLEMENTADO]])="","",YEAR(Table13[[#This Row],[IMPLEMENTADO]]))</f>
        <v>1900</v>
      </c>
      <c r="D96" s="138" t="str">
        <f>IF(Table13[[#This Row],[IMPLEMENTADO]]="","",TEXT(Table13[[#This Row],[IMPLEMENTADO]],"Mmm"))</f>
        <v/>
      </c>
      <c r="E96" s="163">
        <f>DAY(Table13[[#This Row],[IMPLEMENTADO]])</f>
        <v>0</v>
      </c>
      <c r="F96" s="140"/>
      <c r="G96" s="140"/>
      <c r="H96" s="172"/>
      <c r="I96" s="137"/>
      <c r="J96" s="137"/>
      <c r="K96" s="137"/>
      <c r="L96" s="137"/>
      <c r="M96" s="137"/>
      <c r="N96" s="171"/>
      <c r="O96" s="143"/>
      <c r="P96" s="142"/>
      <c r="Q96" s="161"/>
      <c r="R96" s="144"/>
      <c r="S96" s="173"/>
      <c r="T96" s="141"/>
      <c r="U96" s="145"/>
      <c r="V96" s="145"/>
      <c r="W96" s="146"/>
      <c r="X96" s="148"/>
    </row>
    <row r="97" spans="1:24" ht="80.099999999999994" customHeight="1">
      <c r="A97" s="136">
        <v>95</v>
      </c>
      <c r="B97" s="152"/>
      <c r="C97" s="163">
        <f>IF(YEAR(Table13[[#This Row],[IMPLEMENTADO]])="","",YEAR(Table13[[#This Row],[IMPLEMENTADO]]))</f>
        <v>1900</v>
      </c>
      <c r="D97" s="138" t="str">
        <f>IF(Table13[[#This Row],[IMPLEMENTADO]]="","",TEXT(Table13[[#This Row],[IMPLEMENTADO]],"Mmm"))</f>
        <v/>
      </c>
      <c r="E97" s="163">
        <f>DAY(Table13[[#This Row],[IMPLEMENTADO]])</f>
        <v>0</v>
      </c>
      <c r="F97" s="140"/>
      <c r="G97" s="140"/>
      <c r="H97" s="172"/>
      <c r="I97" s="137"/>
      <c r="J97" s="137"/>
      <c r="K97" s="137"/>
      <c r="L97" s="137"/>
      <c r="M97" s="137"/>
      <c r="N97" s="171"/>
      <c r="O97" s="143"/>
      <c r="P97" s="142"/>
      <c r="Q97" s="161"/>
      <c r="R97" s="144"/>
      <c r="S97" s="173"/>
      <c r="T97" s="141"/>
      <c r="U97" s="145"/>
      <c r="V97" s="145"/>
      <c r="W97" s="146"/>
      <c r="X97" s="148"/>
    </row>
    <row r="98" spans="1:24" ht="80.099999999999994" customHeight="1">
      <c r="A98" s="136">
        <v>96</v>
      </c>
      <c r="B98" s="152"/>
      <c r="C98" s="163">
        <f>IF(YEAR(Table13[[#This Row],[IMPLEMENTADO]])="","",YEAR(Table13[[#This Row],[IMPLEMENTADO]]))</f>
        <v>1900</v>
      </c>
      <c r="D98" s="138" t="str">
        <f>IF(Table13[[#This Row],[IMPLEMENTADO]]="","",TEXT(Table13[[#This Row],[IMPLEMENTADO]],"Mmm"))</f>
        <v/>
      </c>
      <c r="E98" s="163">
        <f>DAY(Table13[[#This Row],[IMPLEMENTADO]])</f>
        <v>0</v>
      </c>
      <c r="F98" s="140"/>
      <c r="G98" s="140"/>
      <c r="H98" s="172"/>
      <c r="I98" s="137"/>
      <c r="J98" s="137"/>
      <c r="K98" s="137"/>
      <c r="L98" s="137"/>
      <c r="M98" s="137"/>
      <c r="N98" s="171"/>
      <c r="O98" s="143"/>
      <c r="P98" s="142"/>
      <c r="Q98" s="161"/>
      <c r="R98" s="144"/>
      <c r="S98" s="173"/>
      <c r="T98" s="141"/>
      <c r="U98" s="145"/>
      <c r="V98" s="145"/>
      <c r="W98" s="146"/>
      <c r="X98" s="148"/>
    </row>
    <row r="99" spans="1:24" ht="80.099999999999994" customHeight="1">
      <c r="A99" s="136">
        <v>97</v>
      </c>
      <c r="B99" s="152"/>
      <c r="C99" s="163">
        <f>IF(YEAR(Table13[[#This Row],[IMPLEMENTADO]])="","",YEAR(Table13[[#This Row],[IMPLEMENTADO]]))</f>
        <v>1900</v>
      </c>
      <c r="D99" s="138" t="str">
        <f>IF(Table13[[#This Row],[IMPLEMENTADO]]="","",TEXT(Table13[[#This Row],[IMPLEMENTADO]],"Mmm"))</f>
        <v/>
      </c>
      <c r="E99" s="163">
        <f>DAY(Table13[[#This Row],[IMPLEMENTADO]])</f>
        <v>0</v>
      </c>
      <c r="F99" s="140"/>
      <c r="G99" s="140"/>
      <c r="H99" s="172"/>
      <c r="I99" s="137"/>
      <c r="J99" s="137"/>
      <c r="K99" s="137"/>
      <c r="L99" s="137"/>
      <c r="M99" s="137"/>
      <c r="N99" s="171"/>
      <c r="O99" s="143"/>
      <c r="P99" s="142"/>
      <c r="Q99" s="161"/>
      <c r="R99" s="144"/>
      <c r="S99" s="173"/>
      <c r="T99" s="141"/>
      <c r="U99" s="145"/>
      <c r="V99" s="145"/>
      <c r="W99" s="146"/>
      <c r="X99" s="148"/>
    </row>
    <row r="100" spans="1:24" ht="80.099999999999994" customHeight="1">
      <c r="A100" s="136">
        <v>98</v>
      </c>
      <c r="B100" s="152"/>
      <c r="C100" s="163">
        <f>IF(YEAR(Table13[[#This Row],[IMPLEMENTADO]])="","",YEAR(Table13[[#This Row],[IMPLEMENTADO]]))</f>
        <v>1900</v>
      </c>
      <c r="D100" s="138" t="str">
        <f>IF(Table13[[#This Row],[IMPLEMENTADO]]="","",TEXT(Table13[[#This Row],[IMPLEMENTADO]],"Mmm"))</f>
        <v/>
      </c>
      <c r="E100" s="163">
        <f>DAY(Table13[[#This Row],[IMPLEMENTADO]])</f>
        <v>0</v>
      </c>
      <c r="F100" s="140"/>
      <c r="G100" s="140"/>
      <c r="H100" s="172"/>
      <c r="I100" s="137"/>
      <c r="J100" s="137"/>
      <c r="K100" s="137"/>
      <c r="L100" s="137"/>
      <c r="M100" s="137"/>
      <c r="N100" s="171"/>
      <c r="O100" s="143"/>
      <c r="P100" s="142"/>
      <c r="Q100" s="161"/>
      <c r="R100" s="144"/>
      <c r="S100" s="173"/>
      <c r="T100" s="141"/>
      <c r="U100" s="145"/>
      <c r="V100" s="145"/>
      <c r="W100" s="146"/>
      <c r="X100" s="148"/>
    </row>
    <row r="101" spans="1:24" ht="80.099999999999994" customHeight="1">
      <c r="A101" s="136">
        <v>99</v>
      </c>
      <c r="B101" s="152"/>
      <c r="C101" s="163">
        <f>IF(YEAR(Table13[[#This Row],[IMPLEMENTADO]])="","",YEAR(Table13[[#This Row],[IMPLEMENTADO]]))</f>
        <v>1900</v>
      </c>
      <c r="D101" s="138" t="str">
        <f>IF(Table13[[#This Row],[IMPLEMENTADO]]="","",TEXT(Table13[[#This Row],[IMPLEMENTADO]],"Mmm"))</f>
        <v/>
      </c>
      <c r="E101" s="163">
        <f>DAY(Table13[[#This Row],[IMPLEMENTADO]])</f>
        <v>0</v>
      </c>
      <c r="F101" s="140"/>
      <c r="G101" s="140"/>
      <c r="H101" s="172"/>
      <c r="I101" s="137"/>
      <c r="J101" s="137"/>
      <c r="K101" s="137"/>
      <c r="L101" s="137"/>
      <c r="M101" s="137"/>
      <c r="N101" s="171"/>
      <c r="O101" s="143"/>
      <c r="P101" s="142"/>
      <c r="Q101" s="161"/>
      <c r="R101" s="144"/>
      <c r="S101" s="173"/>
      <c r="T101" s="141"/>
      <c r="U101" s="145"/>
      <c r="V101" s="145"/>
      <c r="W101" s="146"/>
      <c r="X101" s="148"/>
    </row>
    <row r="102" spans="1:24" ht="80.099999999999994" customHeight="1">
      <c r="A102" s="136">
        <v>100</v>
      </c>
      <c r="B102" s="152"/>
      <c r="C102" s="163">
        <f>IF(YEAR(Table13[[#This Row],[IMPLEMENTADO]])="","",YEAR(Table13[[#This Row],[IMPLEMENTADO]]))</f>
        <v>1900</v>
      </c>
      <c r="D102" s="138" t="str">
        <f>IF(Table13[[#This Row],[IMPLEMENTADO]]="","",TEXT(Table13[[#This Row],[IMPLEMENTADO]],"Mmm"))</f>
        <v/>
      </c>
      <c r="E102" s="163">
        <f>DAY(Table13[[#This Row],[IMPLEMENTADO]])</f>
        <v>0</v>
      </c>
      <c r="F102" s="140"/>
      <c r="G102" s="140"/>
      <c r="H102" s="172"/>
      <c r="I102" s="137"/>
      <c r="J102" s="137"/>
      <c r="K102" s="137"/>
      <c r="L102" s="137"/>
      <c r="M102" s="137"/>
      <c r="N102" s="171"/>
      <c r="O102" s="143"/>
      <c r="P102" s="142"/>
      <c r="Q102" s="161"/>
      <c r="R102" s="144"/>
      <c r="S102" s="173"/>
      <c r="T102" s="141"/>
      <c r="U102" s="145"/>
      <c r="V102" s="145"/>
      <c r="W102" s="146"/>
      <c r="X102" s="148"/>
    </row>
    <row r="103" spans="1:24" ht="80.099999999999994" customHeight="1">
      <c r="A103" s="136">
        <v>101</v>
      </c>
      <c r="B103" s="152"/>
      <c r="C103" s="163">
        <f>IF(YEAR(Table13[[#This Row],[IMPLEMENTADO]])="","",YEAR(Table13[[#This Row],[IMPLEMENTADO]]))</f>
        <v>1900</v>
      </c>
      <c r="D103" s="138" t="str">
        <f>IF(Table13[[#This Row],[IMPLEMENTADO]]="","",TEXT(Table13[[#This Row],[IMPLEMENTADO]],"Mmm"))</f>
        <v/>
      </c>
      <c r="E103" s="163">
        <f>DAY(Table13[[#This Row],[IMPLEMENTADO]])</f>
        <v>0</v>
      </c>
      <c r="F103" s="140"/>
      <c r="G103" s="140"/>
      <c r="H103" s="172"/>
      <c r="I103" s="137"/>
      <c r="J103" s="137"/>
      <c r="K103" s="137"/>
      <c r="L103" s="137"/>
      <c r="M103" s="137"/>
      <c r="N103" s="171"/>
      <c r="O103" s="143"/>
      <c r="P103" s="142"/>
      <c r="Q103" s="161"/>
      <c r="R103" s="144"/>
      <c r="S103" s="173"/>
      <c r="T103" s="141"/>
      <c r="U103" s="145"/>
      <c r="V103" s="145"/>
      <c r="W103" s="146"/>
      <c r="X103" s="148"/>
    </row>
    <row r="104" spans="1:24" ht="80.099999999999994" customHeight="1">
      <c r="A104" s="136">
        <v>102</v>
      </c>
      <c r="B104" s="152"/>
      <c r="C104" s="163">
        <f>IF(YEAR(Table13[[#This Row],[IMPLEMENTADO]])="","",YEAR(Table13[[#This Row],[IMPLEMENTADO]]))</f>
        <v>1900</v>
      </c>
      <c r="D104" s="138" t="str">
        <f>IF(Table13[[#This Row],[IMPLEMENTADO]]="","",TEXT(Table13[[#This Row],[IMPLEMENTADO]],"Mmm"))</f>
        <v/>
      </c>
      <c r="E104" s="163">
        <f>DAY(Table13[[#This Row],[IMPLEMENTADO]])</f>
        <v>0</v>
      </c>
      <c r="F104" s="140"/>
      <c r="G104" s="140"/>
      <c r="H104" s="172"/>
      <c r="I104" s="137"/>
      <c r="J104" s="137"/>
      <c r="K104" s="137"/>
      <c r="L104" s="137"/>
      <c r="M104" s="137"/>
      <c r="N104" s="171"/>
      <c r="O104" s="143"/>
      <c r="P104" s="142"/>
      <c r="Q104" s="161"/>
      <c r="R104" s="144"/>
      <c r="S104" s="173"/>
      <c r="T104" s="141"/>
      <c r="U104" s="145"/>
      <c r="V104" s="145"/>
      <c r="W104" s="146"/>
      <c r="X104" s="148"/>
    </row>
    <row r="105" spans="1:24" ht="80.099999999999994" customHeight="1">
      <c r="A105" s="136">
        <v>103</v>
      </c>
      <c r="B105" s="152"/>
      <c r="C105" s="163">
        <f>IF(YEAR(Table13[[#This Row],[IMPLEMENTADO]])="","",YEAR(Table13[[#This Row],[IMPLEMENTADO]]))</f>
        <v>1900</v>
      </c>
      <c r="D105" s="138" t="str">
        <f>IF(Table13[[#This Row],[IMPLEMENTADO]]="","",TEXT(Table13[[#This Row],[IMPLEMENTADO]],"Mmm"))</f>
        <v/>
      </c>
      <c r="E105" s="163">
        <f>DAY(Table13[[#This Row],[IMPLEMENTADO]])</f>
        <v>0</v>
      </c>
      <c r="F105" s="140"/>
      <c r="G105" s="140"/>
      <c r="H105" s="172"/>
      <c r="I105" s="137"/>
      <c r="J105" s="137"/>
      <c r="K105" s="137"/>
      <c r="L105" s="137"/>
      <c r="M105" s="137"/>
      <c r="N105" s="171"/>
      <c r="O105" s="143"/>
      <c r="P105" s="142"/>
      <c r="Q105" s="161"/>
      <c r="R105" s="144"/>
      <c r="S105" s="173"/>
      <c r="T105" s="141"/>
      <c r="U105" s="145"/>
      <c r="V105" s="145"/>
      <c r="W105" s="146"/>
      <c r="X105" s="148"/>
    </row>
    <row r="106" spans="1:24" ht="80.099999999999994" customHeight="1">
      <c r="A106" s="136">
        <v>104</v>
      </c>
      <c r="B106" s="152"/>
      <c r="C106" s="163">
        <f>IF(YEAR(Table13[[#This Row],[IMPLEMENTADO]])="","",YEAR(Table13[[#This Row],[IMPLEMENTADO]]))</f>
        <v>1900</v>
      </c>
      <c r="D106" s="138" t="str">
        <f>IF(Table13[[#This Row],[IMPLEMENTADO]]="","",TEXT(Table13[[#This Row],[IMPLEMENTADO]],"Mmm"))</f>
        <v/>
      </c>
      <c r="E106" s="163">
        <f>DAY(Table13[[#This Row],[IMPLEMENTADO]])</f>
        <v>0</v>
      </c>
      <c r="F106" s="140"/>
      <c r="G106" s="140"/>
      <c r="H106" s="172"/>
      <c r="I106" s="137"/>
      <c r="J106" s="137"/>
      <c r="K106" s="137"/>
      <c r="L106" s="137"/>
      <c r="M106" s="137"/>
      <c r="N106" s="171"/>
      <c r="O106" s="143"/>
      <c r="P106" s="142"/>
      <c r="Q106" s="161"/>
      <c r="R106" s="144"/>
      <c r="S106" s="173"/>
      <c r="T106" s="141"/>
      <c r="U106" s="145"/>
      <c r="V106" s="145"/>
      <c r="W106" s="146"/>
      <c r="X106" s="148"/>
    </row>
    <row r="107" spans="1:24" ht="80.099999999999994" customHeight="1">
      <c r="A107" s="136">
        <v>105</v>
      </c>
      <c r="B107" s="152"/>
      <c r="C107" s="163">
        <f>IF(YEAR(Table13[[#This Row],[IMPLEMENTADO]])="","",YEAR(Table13[[#This Row],[IMPLEMENTADO]]))</f>
        <v>1900</v>
      </c>
      <c r="D107" s="138" t="str">
        <f>IF(Table13[[#This Row],[IMPLEMENTADO]]="","",TEXT(Table13[[#This Row],[IMPLEMENTADO]],"Mmm"))</f>
        <v/>
      </c>
      <c r="E107" s="163">
        <f>DAY(Table13[[#This Row],[IMPLEMENTADO]])</f>
        <v>0</v>
      </c>
      <c r="F107" s="140"/>
      <c r="G107" s="140"/>
      <c r="H107" s="172"/>
      <c r="I107" s="137"/>
      <c r="J107" s="137"/>
      <c r="K107" s="137"/>
      <c r="L107" s="137"/>
      <c r="M107" s="137"/>
      <c r="N107" s="171"/>
      <c r="O107" s="143"/>
      <c r="P107" s="142"/>
      <c r="Q107" s="161"/>
      <c r="R107" s="144"/>
      <c r="S107" s="173"/>
      <c r="T107" s="141"/>
      <c r="U107" s="145"/>
      <c r="V107" s="145"/>
      <c r="W107" s="146"/>
      <c r="X107" s="148"/>
    </row>
    <row r="108" spans="1:24" ht="80.099999999999994" customHeight="1">
      <c r="A108" s="136">
        <v>106</v>
      </c>
      <c r="B108" s="152"/>
      <c r="C108" s="163">
        <f>IF(YEAR(Table13[[#This Row],[IMPLEMENTADO]])="","",YEAR(Table13[[#This Row],[IMPLEMENTADO]]))</f>
        <v>1900</v>
      </c>
      <c r="D108" s="138" t="str">
        <f>IF(Table13[[#This Row],[IMPLEMENTADO]]="","",TEXT(Table13[[#This Row],[IMPLEMENTADO]],"Mmm"))</f>
        <v/>
      </c>
      <c r="E108" s="163">
        <f>DAY(Table13[[#This Row],[IMPLEMENTADO]])</f>
        <v>0</v>
      </c>
      <c r="F108" s="140"/>
      <c r="G108" s="140"/>
      <c r="H108" s="172"/>
      <c r="I108" s="137"/>
      <c r="J108" s="137"/>
      <c r="K108" s="137"/>
      <c r="L108" s="137"/>
      <c r="M108" s="137"/>
      <c r="N108" s="171"/>
      <c r="O108" s="143"/>
      <c r="P108" s="142"/>
      <c r="Q108" s="161"/>
      <c r="R108" s="144"/>
      <c r="S108" s="173"/>
      <c r="T108" s="141"/>
      <c r="U108" s="145"/>
      <c r="V108" s="145"/>
      <c r="W108" s="146"/>
      <c r="X108" s="148"/>
    </row>
    <row r="109" spans="1:24" ht="80.099999999999994" customHeight="1">
      <c r="A109" s="136">
        <v>107</v>
      </c>
      <c r="B109" s="152"/>
      <c r="C109" s="163">
        <f>IF(YEAR(Table13[[#This Row],[IMPLEMENTADO]])="","",YEAR(Table13[[#This Row],[IMPLEMENTADO]]))</f>
        <v>1900</v>
      </c>
      <c r="D109" s="138" t="str">
        <f>IF(Table13[[#This Row],[IMPLEMENTADO]]="","",TEXT(Table13[[#This Row],[IMPLEMENTADO]],"Mmm"))</f>
        <v/>
      </c>
      <c r="E109" s="163">
        <f>DAY(Table13[[#This Row],[IMPLEMENTADO]])</f>
        <v>0</v>
      </c>
      <c r="F109" s="140"/>
      <c r="G109" s="140"/>
      <c r="H109" s="172"/>
      <c r="I109" s="137"/>
      <c r="J109" s="137"/>
      <c r="K109" s="137"/>
      <c r="L109" s="137"/>
      <c r="M109" s="137"/>
      <c r="N109" s="171"/>
      <c r="O109" s="143"/>
      <c r="P109" s="142"/>
      <c r="Q109" s="161"/>
      <c r="R109" s="144"/>
      <c r="S109" s="173"/>
      <c r="T109" s="141"/>
      <c r="U109" s="145"/>
      <c r="V109" s="145"/>
      <c r="W109" s="146"/>
      <c r="X109" s="148"/>
    </row>
    <row r="110" spans="1:24" ht="80.099999999999994" customHeight="1">
      <c r="A110" s="136">
        <v>108</v>
      </c>
      <c r="B110" s="152"/>
      <c r="C110" s="163">
        <f>IF(YEAR(Table13[[#This Row],[IMPLEMENTADO]])="","",YEAR(Table13[[#This Row],[IMPLEMENTADO]]))</f>
        <v>1900</v>
      </c>
      <c r="D110" s="138" t="str">
        <f>IF(Table13[[#This Row],[IMPLEMENTADO]]="","",TEXT(Table13[[#This Row],[IMPLEMENTADO]],"Mmm"))</f>
        <v/>
      </c>
      <c r="E110" s="163">
        <f>DAY(Table13[[#This Row],[IMPLEMENTADO]])</f>
        <v>0</v>
      </c>
      <c r="F110" s="140"/>
      <c r="G110" s="140"/>
      <c r="H110" s="172"/>
      <c r="I110" s="137"/>
      <c r="J110" s="137"/>
      <c r="K110" s="137"/>
      <c r="L110" s="137"/>
      <c r="M110" s="137"/>
      <c r="N110" s="171"/>
      <c r="O110" s="143"/>
      <c r="P110" s="142"/>
      <c r="Q110" s="161"/>
      <c r="R110" s="144"/>
      <c r="S110" s="173"/>
      <c r="T110" s="141"/>
      <c r="U110" s="145"/>
      <c r="V110" s="145"/>
      <c r="W110" s="146"/>
      <c r="X110" s="148"/>
    </row>
    <row r="114" spans="14:14" ht="80.099999999999994" customHeight="1">
      <c r="N114" s="148" t="s">
        <v>277</v>
      </c>
    </row>
  </sheetData>
  <phoneticPr fontId="7" type="noConversion"/>
  <conditionalFormatting sqref="M3:M110">
    <cfRule type="cellIs" dxfId="52" priority="8" operator="equal">
      <formula>"NO APLICA"</formula>
    </cfRule>
    <cfRule type="cellIs" dxfId="51" priority="9" operator="equal">
      <formula>"APLICA"</formula>
    </cfRule>
  </conditionalFormatting>
  <conditionalFormatting sqref="S8:U8 S13:U13 U49 S49:T55 U50:V51 S4:V7 S14:V18 S19:U19 U3:V3 S3:S4 S20:V48 P3:P110 S9:V12 S52:V110">
    <cfRule type="cellIs" dxfId="50" priority="4" operator="equal">
      <formula>"IMPLEMENTADA"</formula>
    </cfRule>
    <cfRule type="cellIs" dxfId="49" priority="6" operator="equal">
      <formula>"EN PROCESO"</formula>
    </cfRule>
    <cfRule type="cellIs" dxfId="48" priority="7" operator="equal">
      <formula>"NO INICIADO"</formula>
    </cfRule>
  </conditionalFormatting>
  <dataValidations count="5">
    <dataValidation type="list" allowBlank="1" showInputMessage="1" showErrorMessage="1" sqref="P76:P110 S76:S110" xr:uid="{3E3DEB72-B986-4024-B862-0C0ADAB84A95}">
      <formula1>"NO REVISADO, DEMORADO, EN PROCESO, CUMPLIDO"</formula1>
    </dataValidation>
    <dataValidation type="list" allowBlank="1" showInputMessage="1" showErrorMessage="1" sqref="P3" xr:uid="{C382CA8D-B42D-4D98-9B94-4A57D481FA49}">
      <formula1>"NO INICIADO,EN PROCESO,IMPLEMENTADA,ANULADA"</formula1>
    </dataValidation>
    <dataValidation type="list" allowBlank="1" showInputMessage="1" showErrorMessage="1" sqref="U3:U110" xr:uid="{5ED78B8E-E748-4012-A1A3-6B408D8A36EF}">
      <formula1>"SI,NO"</formula1>
    </dataValidation>
    <dataValidation type="list" allowBlank="1" showInputMessage="1" showErrorMessage="1" sqref="M3:M110" xr:uid="{F6254C61-4E53-4ADB-AC84-478C738C4B56}">
      <formula1>"APLICA,NO APLICA"</formula1>
    </dataValidation>
    <dataValidation type="list" allowBlank="1" showInputMessage="1" showErrorMessage="1" sqref="P4:P110 S3:S110" xr:uid="{DBD47C19-7100-4564-AFBA-BED5CEAB116C}">
      <formula1>"NO INICIADO,EN PROCESO,IMPLEMENTADA"</formula1>
    </dataValidation>
  </dataValidations>
  <hyperlinks>
    <hyperlink ref="N23" r:id="rId1" xr:uid="{E360295B-FAE6-49BD-B761-B6390E4687E2}"/>
    <hyperlink ref="N12" r:id="rId2" xr:uid="{27B4D3B6-FBC5-48C6-BB37-CF49B8AA35B3}"/>
    <hyperlink ref="N7" r:id="rId3" xr:uid="{3C5977BA-7EF3-4EB9-892D-6F899881A700}"/>
    <hyperlink ref="N24" r:id="rId4" xr:uid="{0587F8FC-9B2F-4362-B4E7-3515047C7525}"/>
    <hyperlink ref="N4" r:id="rId5" xr:uid="{E255E0BD-B06A-41E4-9162-1F0776F5D87F}"/>
    <hyperlink ref="N5" r:id="rId6" xr:uid="{CCACA92D-3674-467F-99BE-CAEC7617A00B}"/>
    <hyperlink ref="N21" r:id="rId7" xr:uid="{82BC3AE1-286B-4C9E-98B0-044A31CB8D9B}"/>
    <hyperlink ref="N59" r:id="rId8" xr:uid="{3FB8AE4A-CEAE-483A-8FE0-D0AEF7503DDA}"/>
    <hyperlink ref="N73" r:id="rId9" xr:uid="{2749D731-E07C-4EDF-ACED-C80C92075E47}"/>
    <hyperlink ref="N71" r:id="rId10" xr:uid="{0BCCAB15-D581-44FF-B455-56E45D9E3965}"/>
    <hyperlink ref="N38" r:id="rId11" xr:uid="{09B6395B-538F-4A88-A94F-9A4301585D40}"/>
    <hyperlink ref="N6" r:id="rId12" xr:uid="{55B11070-2940-403F-BE7A-4D85DD78C6F3}"/>
    <hyperlink ref="N8" r:id="rId13" xr:uid="{E909CC84-22AB-4F79-B8D6-55F649B85583}"/>
    <hyperlink ref="N70" r:id="rId14" xr:uid="{443E3C0D-07BC-4A9D-8163-D4E2E3E427BB}"/>
    <hyperlink ref="N58" r:id="rId15" xr:uid="{0657A7A5-A2F7-41C4-9CB3-103CC1EE3944}"/>
    <hyperlink ref="N69" r:id="rId16" xr:uid="{BA24F94F-8E8D-4361-AAF1-2FBCA1732366}"/>
    <hyperlink ref="N22" r:id="rId17" xr:uid="{211B26D0-D23F-4161-928D-35246AD60999}"/>
    <hyperlink ref="N27" r:id="rId18" xr:uid="{4E916BB4-5D40-46EB-8DE3-F465A4CDB44F}"/>
    <hyperlink ref="N9" r:id="rId19" xr:uid="{3153813F-88A9-413E-9337-E5EF19A8CFE2}"/>
    <hyperlink ref="N20" r:id="rId20" xr:uid="{D143CF77-1DFD-4B21-9DBA-143B56F6EC38}"/>
    <hyperlink ref="N19" r:id="rId21" xr:uid="{84D1DE87-CE60-4162-8544-F85A0584811D}"/>
    <hyperlink ref="N60" r:id="rId22" xr:uid="{0F7A0491-FF3B-4CC6-90D3-ED991A496C94}"/>
    <hyperlink ref="N31" r:id="rId23" xr:uid="{2B0D34F8-5068-47E7-B4DC-EEE7BE7366FD}"/>
    <hyperlink ref="N11" r:id="rId24" xr:uid="{A09E19CD-449F-448A-A807-512015AA2D08}"/>
    <hyperlink ref="N30" r:id="rId25" xr:uid="{B2DBF6F2-C337-4017-9B6A-79AC298559DB}"/>
    <hyperlink ref="N35" r:id="rId26" xr:uid="{43C80D86-A640-4029-90B8-5268D643C6D5}"/>
    <hyperlink ref="N10" r:id="rId27" xr:uid="{BEE7E5EA-4293-464A-91A5-08D7EBE62B50}"/>
    <hyperlink ref="N13" r:id="rId28" xr:uid="{7949394B-09FD-4258-94B7-9BD56AC9848F}"/>
    <hyperlink ref="N16" r:id="rId29" xr:uid="{CBE47691-874C-40ED-8150-7FE1C3C8BEEC}"/>
    <hyperlink ref="N15" r:id="rId30" xr:uid="{554CDBD8-1A86-400E-A611-E9E222F9ACFF}"/>
    <hyperlink ref="N17" r:id="rId31" xr:uid="{479021D9-DDEA-482A-94E4-35949BDC94A4}"/>
    <hyperlink ref="N18" r:id="rId32" xr:uid="{791CF241-FB71-4C8D-9F04-3296AADAD341}"/>
    <hyperlink ref="N33" r:id="rId33" xr:uid="{65CB3A3A-405B-4047-AE0C-1DB11AA2CE09}"/>
    <hyperlink ref="N26" r:id="rId34" display="../../../../../../:f:/s/RODNEY/IgBGq72iKnFNRb_PUWW7QCLwASij005ao8LHiBV7OsrX-jw?e=kq7FDa" xr:uid="{39CBF043-AFFF-40AF-9586-6B7A9D2A0F3C}"/>
    <hyperlink ref="N25" r:id="rId35" display="RODNEY - Documentos - 39.Mejora wifi en Deposito - Todos los documentos" xr:uid="{97473DFD-FDFA-4424-848E-9265728C5DDB}"/>
    <hyperlink ref="N28" r:id="rId36" xr:uid="{BCDE76AE-C39F-4D82-BD18-5B1C00849373}"/>
    <hyperlink ref="N29" r:id="rId37" xr:uid="{DEF02E13-BB1A-4BB8-A6BD-67C342D149C2}"/>
    <hyperlink ref="N32" r:id="rId38" xr:uid="{CA560BB2-F4B2-405F-B3EA-3D864AED53DD}"/>
    <hyperlink ref="N61" r:id="rId39" xr:uid="{2FA58972-F3E8-4720-BDBD-4D4B27AF8E34}"/>
    <hyperlink ref="N54" r:id="rId40" xr:uid="{21F8647E-A4E8-4EEA-80A9-5AB664F69184}"/>
    <hyperlink ref="N55" r:id="rId41" xr:uid="{E875E352-FF48-48D3-902F-91C7DE061E0D}"/>
    <hyperlink ref="N51" r:id="rId42" xr:uid="{284AFF03-317D-48F4-AC4E-A80F77CB2030}"/>
    <hyperlink ref="N34" r:id="rId43" xr:uid="{C7D4EF34-9F45-4BB4-8CEC-08EAC639476F}"/>
    <hyperlink ref="N56" r:id="rId44" xr:uid="{AF32447A-0DBF-475B-9D11-B0AB7CE8D7AA}"/>
    <hyperlink ref="N40" r:id="rId45" xr:uid="{A09725EE-9186-4793-BC1E-5BD992866E25}"/>
    <hyperlink ref="N53" r:id="rId46" xr:uid="{FF5FBDD1-EEC0-4310-AEBB-689DBEC33762}"/>
    <hyperlink ref="N46" r:id="rId47" xr:uid="{733E3284-667C-46C2-9E8A-9E460EFBC86C}"/>
    <hyperlink ref="N47" r:id="rId48" xr:uid="{9028D153-213D-4FB1-9C2B-BD2DCA662C19}"/>
    <hyperlink ref="N37" r:id="rId49" xr:uid="{2A3A6246-F1A9-4F76-A77B-1318634F2EE8}"/>
    <hyperlink ref="N41" r:id="rId50" xr:uid="{3FF6BE80-5DAE-45F1-9E14-D1189C03CF53}"/>
    <hyperlink ref="N42" r:id="rId51" xr:uid="{706C007C-1A97-4AD0-B483-F6946153A6BE}"/>
  </hyperlinks>
  <pageMargins left="0.70866141732283472" right="0.70866141732283472" top="0.74803149606299213" bottom="0.74803149606299213" header="0.31496062992125984" footer="0.31496062992125984"/>
  <pageSetup scale="35" orientation="landscape" verticalDpi="598" r:id="rId52"/>
  <drawing r:id="rId53"/>
  <tableParts count="1">
    <tablePart r:id="rId54"/>
  </tableParts>
  <extLst>
    <ext xmlns:x14="http://schemas.microsoft.com/office/spreadsheetml/2009/9/main" uri="{CCE6A557-97BC-4b89-ADB6-D9C93CAAB3DF}">
      <x14:dataValidations xmlns:xm="http://schemas.microsoft.com/office/excel/2006/main" count="2">
        <x14:dataValidation type="list" allowBlank="1" showInputMessage="1" showErrorMessage="1" xr:uid="{AF050132-D829-4766-A152-47D3F71CF6A8}">
          <x14:formula1>
            <xm:f>FUENTE!$A$1:$A$366</xm:f>
          </x14:formula1>
          <xm:sqref>H3 H15:H16 H6 H8:H9 B22:B110 B3:B19 H23:H110 T3:T110</xm:sqref>
        </x14:dataValidation>
        <x14:dataValidation type="list" allowBlank="1" showInputMessage="1" showErrorMessage="1" xr:uid="{7D3CEC90-8E13-428E-8F8D-4B6F72B2F5C9}">
          <x14:formula1>
            <xm:f>FUENTE!$B$1:$B$50</xm:f>
          </x14:formula1>
          <xm:sqref>R3:R13 R15:R20 R22:R110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B735C-E915-4B43-A739-5CC2B12B7FDF}">
  <sheetPr codeName="Hoja9">
    <tabColor rgb="FF75FFB3"/>
  </sheetPr>
  <dimension ref="A1:R110"/>
  <sheetViews>
    <sheetView showGridLines="0" zoomScale="70" zoomScaleNormal="70" zoomScaleSheetLayoutView="70" workbookViewId="0">
      <pane xSplit="5" ySplit="2" topLeftCell="F3" activePane="bottomRight" state="frozen"/>
      <selection pane="topRight" activeCell="Q47" sqref="Q47"/>
      <selection pane="bottomLeft" activeCell="Q47" sqref="Q47"/>
      <selection pane="bottomRight" activeCell="Q47" sqref="Q47"/>
    </sheetView>
  </sheetViews>
  <sheetFormatPr baseColWidth="10" defaultColWidth="9" defaultRowHeight="80.099999999999994" customHeight="1"/>
  <cols>
    <col min="1" max="1" width="8.875" style="114" customWidth="1"/>
    <col min="2" max="2" width="10.625" style="114" customWidth="1"/>
    <col min="3" max="3" width="11.75" style="114" customWidth="1"/>
    <col min="4" max="4" width="16.875" style="114" customWidth="1"/>
    <col min="5" max="5" width="10.625" style="114" customWidth="1"/>
    <col min="6" max="6" width="72.75" style="115" customWidth="1"/>
    <col min="7" max="7" width="66.875" style="115" customWidth="1"/>
    <col min="8" max="8" width="17.75" style="114" customWidth="1"/>
    <col min="9" max="9" width="10.625" style="114" customWidth="1"/>
    <col min="10" max="10" width="14" style="114" customWidth="1"/>
    <col min="11" max="11" width="18.125" style="114" bestFit="1" customWidth="1"/>
    <col min="12" max="12" width="14.375" style="114" bestFit="1" customWidth="1"/>
    <col min="13" max="13" width="21.875" style="114" bestFit="1" customWidth="1"/>
    <col min="14" max="14" width="21.5" style="114" bestFit="1" customWidth="1"/>
    <col min="15" max="15" width="18.75" style="114" bestFit="1" customWidth="1"/>
    <col min="16" max="16" width="19.75" style="114" bestFit="1" customWidth="1"/>
    <col min="17" max="17" width="19.375" style="114" customWidth="1"/>
    <col min="18" max="18" width="18.75" style="114" bestFit="1" customWidth="1"/>
    <col min="19" max="20" width="13.625" style="113" customWidth="1"/>
    <col min="21" max="16384" width="9" style="113"/>
  </cols>
  <sheetData>
    <row r="1" spans="1:18" s="112" customFormat="1" ht="61.5" customHeight="1">
      <c r="A1" s="128" t="s">
        <v>278</v>
      </c>
      <c r="B1" s="110"/>
      <c r="C1" s="110"/>
      <c r="D1" s="110"/>
      <c r="E1" s="110"/>
      <c r="F1" s="111"/>
      <c r="G1" s="111"/>
      <c r="H1" s="110"/>
      <c r="I1" s="110"/>
      <c r="J1" s="110"/>
      <c r="K1" s="110"/>
      <c r="L1" s="110"/>
      <c r="M1" s="110"/>
      <c r="N1" s="110"/>
      <c r="O1" s="110"/>
      <c r="P1" s="110"/>
      <c r="Q1" s="110"/>
      <c r="R1" s="110"/>
    </row>
    <row r="2" spans="1:18" s="132" customFormat="1" ht="50.1" customHeight="1">
      <c r="A2" s="129" t="s">
        <v>26</v>
      </c>
      <c r="B2" s="130" t="s">
        <v>27</v>
      </c>
      <c r="C2" s="130" t="s">
        <v>28</v>
      </c>
      <c r="D2" s="130" t="s">
        <v>29</v>
      </c>
      <c r="E2" s="130" t="s">
        <v>30</v>
      </c>
      <c r="F2" s="130" t="s">
        <v>31</v>
      </c>
      <c r="G2" s="130" t="s">
        <v>32</v>
      </c>
      <c r="H2" s="130" t="s">
        <v>33</v>
      </c>
      <c r="I2" s="130" t="s">
        <v>34</v>
      </c>
      <c r="J2" s="130" t="s">
        <v>35</v>
      </c>
      <c r="K2" s="130" t="s">
        <v>36</v>
      </c>
      <c r="L2" s="130" t="s">
        <v>44</v>
      </c>
      <c r="N2" s="133" t="s">
        <v>49</v>
      </c>
      <c r="O2" s="134">
        <f ca="1">TODAY()</f>
        <v>46322</v>
      </c>
      <c r="P2" s="135"/>
    </row>
    <row r="3" spans="1:18" s="147" customFormat="1" ht="77.45" customHeight="1">
      <c r="A3" s="136">
        <v>1</v>
      </c>
      <c r="B3" s="137"/>
      <c r="C3" s="137">
        <f>IF(YEAR(Table133[[#This Row],[IMPLEMENTADO]])="","",YEAR(Table133[[#This Row],[IMPLEMENTADO]]))</f>
        <v>1900</v>
      </c>
      <c r="D3" s="138" t="str">
        <f>IF(Table133[[#This Row],[IMPLEMENTADO]]="","",TEXT(Table133[[#This Row],[IMPLEMENTADO]],"Mmm"))</f>
        <v/>
      </c>
      <c r="E3" s="137">
        <f>DAY(Table133[[#This Row],[IMPLEMENTADO]])</f>
        <v>0</v>
      </c>
      <c r="F3" s="140" t="s">
        <v>279</v>
      </c>
      <c r="G3" s="149" t="s">
        <v>280</v>
      </c>
      <c r="H3" s="141"/>
      <c r="I3" s="142"/>
      <c r="J3" s="142"/>
      <c r="K3" s="142"/>
      <c r="L3" s="142"/>
      <c r="P3" s="148"/>
    </row>
    <row r="4" spans="1:18" s="147" customFormat="1" ht="77.45" customHeight="1">
      <c r="A4" s="136"/>
      <c r="B4" s="137"/>
      <c r="C4" s="137">
        <f>IF(YEAR(Table133[[#This Row],[IMPLEMENTADO]])="","",YEAR(Table133[[#This Row],[IMPLEMENTADO]]))</f>
        <v>1900</v>
      </c>
      <c r="D4" s="138" t="str">
        <f>IF(Table133[[#This Row],[IMPLEMENTADO]]="","",TEXT(Table133[[#This Row],[IMPLEMENTADO]],"Mmm"))</f>
        <v/>
      </c>
      <c r="E4" s="137">
        <f>DAY(Table133[[#This Row],[IMPLEMENTADO]])</f>
        <v>0</v>
      </c>
      <c r="F4" s="140" t="s">
        <v>281</v>
      </c>
      <c r="G4" s="149" t="s">
        <v>282</v>
      </c>
      <c r="H4" s="141"/>
      <c r="I4" s="137"/>
      <c r="J4" s="137"/>
      <c r="K4" s="137"/>
      <c r="L4" s="142"/>
      <c r="P4" s="148"/>
    </row>
    <row r="5" spans="1:18" s="147" customFormat="1" ht="77.45" customHeight="1">
      <c r="A5" s="136"/>
      <c r="B5" s="137"/>
      <c r="C5" s="137">
        <f>IF(YEAR(Table133[[#This Row],[IMPLEMENTADO]])="","",YEAR(Table133[[#This Row],[IMPLEMENTADO]]))</f>
        <v>1900</v>
      </c>
      <c r="D5" s="138" t="str">
        <f>IF(Table133[[#This Row],[IMPLEMENTADO]]="","",TEXT(Table133[[#This Row],[IMPLEMENTADO]],"Mmm"))</f>
        <v/>
      </c>
      <c r="E5" s="137">
        <f>DAY(Table133[[#This Row],[IMPLEMENTADO]])</f>
        <v>0</v>
      </c>
      <c r="F5" s="149"/>
      <c r="G5" s="140"/>
      <c r="H5" s="141"/>
      <c r="I5" s="137"/>
      <c r="J5" s="137"/>
      <c r="K5" s="137"/>
      <c r="L5" s="142"/>
      <c r="M5" s="148"/>
      <c r="N5" s="148"/>
      <c r="O5" s="148"/>
      <c r="P5" s="148"/>
    </row>
    <row r="6" spans="1:18" s="147" customFormat="1" ht="77.45" customHeight="1">
      <c r="A6" s="136"/>
      <c r="B6" s="137"/>
      <c r="C6" s="137">
        <f>IF(YEAR(Table133[[#This Row],[IMPLEMENTADO]])="","",YEAR(Table133[[#This Row],[IMPLEMENTADO]]))</f>
        <v>1900</v>
      </c>
      <c r="D6" s="138" t="str">
        <f>IF(Table133[[#This Row],[IMPLEMENTADO]]="","",TEXT(Table133[[#This Row],[IMPLEMENTADO]],"Mmm"))</f>
        <v/>
      </c>
      <c r="E6" s="137">
        <f>DAY(Table133[[#This Row],[IMPLEMENTADO]])</f>
        <v>0</v>
      </c>
      <c r="F6" s="149"/>
      <c r="G6" s="149"/>
      <c r="H6" s="141"/>
      <c r="I6" s="137"/>
      <c r="J6" s="137"/>
      <c r="K6" s="137"/>
      <c r="L6" s="142"/>
      <c r="M6" s="148"/>
      <c r="N6" s="148"/>
      <c r="O6" s="148"/>
      <c r="P6" s="148"/>
    </row>
    <row r="7" spans="1:18" s="147" customFormat="1" ht="77.45" customHeight="1">
      <c r="A7" s="136"/>
      <c r="B7" s="137"/>
      <c r="C7" s="137">
        <f>IF(YEAR(Table133[[#This Row],[IMPLEMENTADO]])="","",YEAR(Table133[[#This Row],[IMPLEMENTADO]]))</f>
        <v>1900</v>
      </c>
      <c r="D7" s="138" t="str">
        <f>IF(Table133[[#This Row],[IMPLEMENTADO]]="","",TEXT(Table133[[#This Row],[IMPLEMENTADO]],"Mmm"))</f>
        <v/>
      </c>
      <c r="E7" s="137">
        <f>DAY(Table133[[#This Row],[IMPLEMENTADO]])</f>
        <v>0</v>
      </c>
      <c r="F7" s="149"/>
      <c r="G7" s="149"/>
      <c r="H7" s="141"/>
      <c r="I7" s="137"/>
      <c r="J7" s="137"/>
      <c r="K7" s="137"/>
      <c r="L7" s="142"/>
      <c r="M7" s="148"/>
      <c r="N7" s="148"/>
      <c r="O7" s="148"/>
      <c r="P7" s="148"/>
    </row>
    <row r="8" spans="1:18" s="157" customFormat="1" ht="77.45" customHeight="1">
      <c r="A8" s="136"/>
      <c r="B8" s="137"/>
      <c r="C8" s="137">
        <f>IF(YEAR(Table133[[#This Row],[IMPLEMENTADO]])="","",YEAR(Table133[[#This Row],[IMPLEMENTADO]]))</f>
        <v>1900</v>
      </c>
      <c r="D8" s="138" t="s">
        <v>283</v>
      </c>
      <c r="E8" s="137">
        <f>DAY(Table133[[#This Row],[IMPLEMENTADO]])</f>
        <v>0</v>
      </c>
      <c r="F8" s="149"/>
      <c r="G8" s="139"/>
      <c r="H8" s="141"/>
      <c r="I8" s="142"/>
      <c r="J8" s="142"/>
      <c r="K8" s="142"/>
      <c r="L8" s="142"/>
    </row>
    <row r="9" spans="1:18" s="147" customFormat="1" ht="77.45" customHeight="1">
      <c r="A9" s="136"/>
      <c r="B9" s="137"/>
      <c r="C9" s="137">
        <f>IF(YEAR(Table133[[#This Row],[IMPLEMENTADO]])="","",YEAR(Table133[[#This Row],[IMPLEMENTADO]]))</f>
        <v>1900</v>
      </c>
      <c r="D9" s="138" t="str">
        <f>IF(Table133[[#This Row],[IMPLEMENTADO]]="","",TEXT(Table133[[#This Row],[IMPLEMENTADO]],"Mmm"))</f>
        <v/>
      </c>
      <c r="E9" s="137">
        <f>DAY(Table133[[#This Row],[IMPLEMENTADO]])</f>
        <v>0</v>
      </c>
      <c r="F9" s="149"/>
      <c r="G9" s="158"/>
      <c r="H9" s="141"/>
      <c r="I9" s="142"/>
      <c r="J9" s="137"/>
      <c r="K9" s="137"/>
      <c r="L9" s="142"/>
    </row>
    <row r="10" spans="1:18" s="147" customFormat="1" ht="77.45" customHeight="1">
      <c r="A10" s="136"/>
      <c r="B10" s="137"/>
      <c r="C10" s="137">
        <f>IF(YEAR(Table133[[#This Row],[IMPLEMENTADO]])="","",YEAR(Table133[[#This Row],[IMPLEMENTADO]]))</f>
        <v>1900</v>
      </c>
      <c r="D10" s="138" t="str">
        <f>IF(Table133[[#This Row],[IMPLEMENTADO]]="","",TEXT(Table133[[#This Row],[IMPLEMENTADO]],"Mmm"))</f>
        <v/>
      </c>
      <c r="E10" s="137">
        <f>DAY(Table133[[#This Row],[IMPLEMENTADO]])</f>
        <v>0</v>
      </c>
      <c r="F10" s="149"/>
      <c r="G10" s="149"/>
      <c r="H10" s="141"/>
      <c r="I10" s="137"/>
      <c r="J10" s="137"/>
      <c r="K10" s="137"/>
      <c r="L10" s="142"/>
    </row>
    <row r="11" spans="1:18" s="147" customFormat="1" ht="125.1" customHeight="1">
      <c r="A11" s="136"/>
      <c r="B11" s="137"/>
      <c r="C11" s="137">
        <f>IF(YEAR(Table133[[#This Row],[IMPLEMENTADO]])="","",YEAR(Table133[[#This Row],[IMPLEMENTADO]]))</f>
        <v>1900</v>
      </c>
      <c r="D11" s="138" t="s">
        <v>184</v>
      </c>
      <c r="E11" s="137">
        <f>DAY(Table133[[#This Row],[IMPLEMENTADO]])</f>
        <v>0</v>
      </c>
      <c r="F11" s="149"/>
      <c r="G11" s="149"/>
      <c r="H11" s="141"/>
      <c r="I11" s="137"/>
      <c r="J11" s="137"/>
      <c r="K11" s="137"/>
      <c r="L11" s="142"/>
    </row>
    <row r="12" spans="1:18" s="147" customFormat="1" ht="77.45" customHeight="1">
      <c r="A12" s="136"/>
      <c r="B12" s="137"/>
      <c r="C12" s="137">
        <f>IF(YEAR(Table133[[#This Row],[IMPLEMENTADO]])="","",YEAR(Table133[[#This Row],[IMPLEMENTADO]]))</f>
        <v>1900</v>
      </c>
      <c r="D12" s="138" t="str">
        <f>IF(Table133[[#This Row],[IMPLEMENTADO]]="","",TEXT(Table133[[#This Row],[IMPLEMENTADO]],"Mmm"))</f>
        <v/>
      </c>
      <c r="E12" s="137">
        <f>DAY(Table133[[#This Row],[IMPLEMENTADO]])</f>
        <v>0</v>
      </c>
      <c r="F12" s="149"/>
      <c r="G12" s="140"/>
      <c r="H12" s="141"/>
      <c r="I12" s="137"/>
      <c r="J12" s="137"/>
      <c r="K12" s="137"/>
      <c r="L12" s="142"/>
    </row>
    <row r="13" spans="1:18" s="147" customFormat="1" ht="77.45" customHeight="1">
      <c r="A13" s="136"/>
      <c r="B13" s="137"/>
      <c r="C13" s="137">
        <f>IF(YEAR(Table133[[#This Row],[IMPLEMENTADO]])="","",YEAR(Table133[[#This Row],[IMPLEMENTADO]]))</f>
        <v>1900</v>
      </c>
      <c r="D13" s="138" t="s">
        <v>284</v>
      </c>
      <c r="E13" s="137">
        <f>DAY(Table133[[#This Row],[IMPLEMENTADO]])</f>
        <v>0</v>
      </c>
      <c r="F13" s="149"/>
      <c r="G13" s="149"/>
      <c r="H13" s="141"/>
      <c r="I13" s="137"/>
      <c r="J13" s="137"/>
      <c r="K13" s="137"/>
      <c r="L13" s="142"/>
    </row>
    <row r="14" spans="1:18" s="147" customFormat="1" ht="125.1" customHeight="1">
      <c r="A14" s="136"/>
      <c r="B14" s="137"/>
      <c r="C14" s="137">
        <f>IF(YEAR(Table133[[#This Row],[IMPLEMENTADO]])="","",YEAR(Table133[[#This Row],[IMPLEMENTADO]]))</f>
        <v>1900</v>
      </c>
      <c r="D14" s="138" t="s">
        <v>283</v>
      </c>
      <c r="E14" s="137">
        <f>DAY(Table133[[#This Row],[IMPLEMENTADO]])</f>
        <v>0</v>
      </c>
      <c r="F14" s="140"/>
      <c r="G14" s="149"/>
      <c r="H14" s="141"/>
      <c r="I14" s="142"/>
      <c r="J14" s="142"/>
      <c r="K14" s="142"/>
      <c r="L14" s="142"/>
    </row>
    <row r="15" spans="1:18" s="147" customFormat="1" ht="77.45" customHeight="1">
      <c r="A15" s="136"/>
      <c r="B15" s="137"/>
      <c r="C15" s="137">
        <f>IF(YEAR(Table133[[#This Row],[IMPLEMENTADO]])="","",YEAR(Table133[[#This Row],[IMPLEMENTADO]]))</f>
        <v>1900</v>
      </c>
      <c r="D15" s="138" t="str">
        <f>IF(Table133[[#This Row],[IMPLEMENTADO]]="","",TEXT(Table133[[#This Row],[IMPLEMENTADO]],"Mmm"))</f>
        <v/>
      </c>
      <c r="E15" s="137">
        <f>DAY(Table133[[#This Row],[IMPLEMENTADO]])</f>
        <v>0</v>
      </c>
      <c r="F15" s="140"/>
      <c r="G15" s="139"/>
      <c r="H15" s="141"/>
      <c r="I15" s="142"/>
      <c r="J15" s="142"/>
      <c r="K15" s="142"/>
      <c r="L15" s="142"/>
    </row>
    <row r="16" spans="1:18" s="147" customFormat="1" ht="77.45" customHeight="1">
      <c r="A16" s="136"/>
      <c r="B16" s="137"/>
      <c r="C16" s="137">
        <f>IF(YEAR(Table133[[#This Row],[IMPLEMENTADO]])="","",YEAR(Table133[[#This Row],[IMPLEMENTADO]]))</f>
        <v>1900</v>
      </c>
      <c r="D16" s="138" t="str">
        <f>IF(Table133[[#This Row],[IMPLEMENTADO]]="","",TEXT(Table133[[#This Row],[IMPLEMENTADO]],"Mmm"))</f>
        <v/>
      </c>
      <c r="E16" s="137">
        <f>DAY(Table133[[#This Row],[IMPLEMENTADO]])</f>
        <v>0</v>
      </c>
      <c r="F16" s="139"/>
      <c r="G16" s="139"/>
      <c r="H16" s="141"/>
      <c r="I16" s="137"/>
      <c r="J16" s="137"/>
      <c r="K16" s="137"/>
      <c r="L16" s="142"/>
    </row>
    <row r="17" spans="1:15" s="147" customFormat="1" ht="77.45" customHeight="1">
      <c r="A17" s="136"/>
      <c r="B17" s="137"/>
      <c r="C17" s="137">
        <f>IF(YEAR(Table133[[#This Row],[IMPLEMENTADO]])="","",YEAR(Table133[[#This Row],[IMPLEMENTADO]]))</f>
        <v>1900</v>
      </c>
      <c r="D17" s="138" t="str">
        <f>IF(Table133[[#This Row],[IMPLEMENTADO]]="","",TEXT(Table133[[#This Row],[IMPLEMENTADO]],"Mmm"))</f>
        <v/>
      </c>
      <c r="E17" s="137">
        <f>DAY(Table133[[#This Row],[IMPLEMENTADO]])</f>
        <v>0</v>
      </c>
      <c r="F17" s="140"/>
      <c r="G17" s="139"/>
      <c r="H17" s="141"/>
      <c r="I17" s="142"/>
      <c r="J17" s="142"/>
      <c r="K17" s="142"/>
      <c r="L17" s="142"/>
    </row>
    <row r="18" spans="1:15" s="147" customFormat="1" ht="77.45" customHeight="1">
      <c r="A18" s="136"/>
      <c r="B18" s="137"/>
      <c r="C18" s="163">
        <f>IF(YEAR(Table133[[#This Row],[IMPLEMENTADO]])="","",YEAR(Table133[[#This Row],[IMPLEMENTADO]]))</f>
        <v>1900</v>
      </c>
      <c r="D18" s="138" t="str">
        <f>IF(Table133[[#This Row],[IMPLEMENTADO]]="","",TEXT(Table133[[#This Row],[IMPLEMENTADO]],"Mmm"))</f>
        <v/>
      </c>
      <c r="E18" s="163">
        <f>DAY(Table133[[#This Row],[IMPLEMENTADO]])</f>
        <v>0</v>
      </c>
      <c r="F18" s="149"/>
      <c r="G18" s="158"/>
      <c r="H18" s="141"/>
      <c r="I18" s="142"/>
      <c r="J18" s="142"/>
      <c r="K18" s="142"/>
      <c r="L18" s="142"/>
    </row>
    <row r="19" spans="1:15" s="147" customFormat="1" ht="77.45" customHeight="1">
      <c r="A19" s="136"/>
      <c r="B19" s="137"/>
      <c r="C19" s="163">
        <f>IF(YEAR(Table133[[#This Row],[IMPLEMENTADO]])="","",YEAR(Table133[[#This Row],[IMPLEMENTADO]]))</f>
        <v>1900</v>
      </c>
      <c r="D19" s="138" t="s">
        <v>184</v>
      </c>
      <c r="E19" s="163">
        <f>DAY(Table133[[#This Row],[IMPLEMENTADO]])</f>
        <v>0</v>
      </c>
      <c r="F19" s="140"/>
      <c r="G19" s="158"/>
      <c r="H19" s="141"/>
      <c r="I19" s="142"/>
      <c r="J19" s="142"/>
      <c r="K19" s="142"/>
      <c r="L19" s="142"/>
    </row>
    <row r="20" spans="1:15" s="147" customFormat="1" ht="77.45" customHeight="1">
      <c r="A20" s="164"/>
      <c r="B20" s="137"/>
      <c r="C20" s="163">
        <f>IF(YEAR(Table133[[#This Row],[IMPLEMENTADO]])="","",YEAR(Table133[[#This Row],[IMPLEMENTADO]]))</f>
        <v>1900</v>
      </c>
      <c r="D20" s="138" t="str">
        <f>IF(Table133[[#This Row],[IMPLEMENTADO]]="","",TEXT(Table133[[#This Row],[IMPLEMENTADO]],"Mmm"))</f>
        <v/>
      </c>
      <c r="E20" s="163">
        <f>DAY(Table133[[#This Row],[IMPLEMENTADO]])</f>
        <v>0</v>
      </c>
      <c r="F20" s="140"/>
      <c r="G20" s="158"/>
      <c r="H20" s="141"/>
      <c r="I20" s="142"/>
      <c r="J20" s="142"/>
      <c r="K20" s="142"/>
      <c r="L20" s="142"/>
    </row>
    <row r="21" spans="1:15" s="147" customFormat="1" ht="77.45" customHeight="1">
      <c r="A21" s="164"/>
      <c r="B21" s="137"/>
      <c r="C21" s="163">
        <f>IF(YEAR(Table133[[#This Row],[IMPLEMENTADO]])="","",YEAR(Table133[[#This Row],[IMPLEMENTADO]]))</f>
        <v>1900</v>
      </c>
      <c r="D21" s="138" t="s">
        <v>283</v>
      </c>
      <c r="E21" s="163">
        <f>DAY(Table133[[#This Row],[IMPLEMENTADO]])</f>
        <v>0</v>
      </c>
      <c r="F21" s="140"/>
      <c r="G21" s="139"/>
      <c r="H21" s="141"/>
      <c r="I21" s="142"/>
      <c r="J21" s="142"/>
      <c r="K21" s="142"/>
      <c r="L21" s="142"/>
    </row>
    <row r="22" spans="1:15" s="147" customFormat="1" ht="77.45" customHeight="1">
      <c r="A22" s="136"/>
      <c r="B22" s="137"/>
      <c r="C22" s="137">
        <f>IF(YEAR(Table133[[#This Row],[IMPLEMENTADO]])="","",YEAR(Table133[[#This Row],[IMPLEMENTADO]]))</f>
        <v>1900</v>
      </c>
      <c r="D22" s="138" t="str">
        <f>IF(Table133[[#This Row],[IMPLEMENTADO]]="","",TEXT(Table133[[#This Row],[IMPLEMENTADO]],"Mmm"))</f>
        <v/>
      </c>
      <c r="E22" s="137">
        <f>DAY(Table133[[#This Row],[IMPLEMENTADO]])</f>
        <v>0</v>
      </c>
      <c r="F22" s="149"/>
      <c r="G22" s="140"/>
      <c r="H22" s="141"/>
      <c r="I22" s="137"/>
      <c r="J22" s="137"/>
      <c r="K22" s="137"/>
      <c r="L22" s="142"/>
      <c r="M22" s="148"/>
      <c r="N22" s="148"/>
    </row>
    <row r="23" spans="1:15" s="147" customFormat="1" ht="77.45" customHeight="1">
      <c r="A23" s="136"/>
      <c r="B23" s="137"/>
      <c r="C23" s="137">
        <f>IF(YEAR(Table133[[#This Row],[IMPLEMENTADO]])="","",YEAR(Table133[[#This Row],[IMPLEMENTADO]]))</f>
        <v>1900</v>
      </c>
      <c r="D23" s="138" t="str">
        <f>IF(Table133[[#This Row],[IMPLEMENTADO]]="","",TEXT(Table133[[#This Row],[IMPLEMENTADO]],"Mmm"))</f>
        <v/>
      </c>
      <c r="E23" s="137">
        <f>DAY(Table133[[#This Row],[IMPLEMENTADO]])</f>
        <v>0</v>
      </c>
      <c r="F23" s="149"/>
      <c r="G23" s="140"/>
      <c r="H23" s="141"/>
      <c r="I23" s="137"/>
      <c r="J23" s="137"/>
      <c r="K23" s="137"/>
      <c r="L23" s="142"/>
      <c r="M23" s="148"/>
      <c r="N23" s="148"/>
    </row>
    <row r="24" spans="1:15" s="147" customFormat="1" ht="77.45" customHeight="1">
      <c r="A24" s="136"/>
      <c r="B24" s="137"/>
      <c r="C24" s="137">
        <f>IF(YEAR(Table133[[#This Row],[IMPLEMENTADO]])="","",YEAR(Table133[[#This Row],[IMPLEMENTADO]]))</f>
        <v>1900</v>
      </c>
      <c r="D24" s="138" t="str">
        <f>IF(Table133[[#This Row],[IMPLEMENTADO]]="","",TEXT(Table133[[#This Row],[IMPLEMENTADO]],"Mmm"))</f>
        <v/>
      </c>
      <c r="E24" s="137">
        <f>DAY(Table133[[#This Row],[IMPLEMENTADO]])</f>
        <v>0</v>
      </c>
      <c r="F24" s="149"/>
      <c r="G24" s="149"/>
      <c r="H24" s="141"/>
      <c r="I24" s="137"/>
      <c r="J24" s="137"/>
      <c r="K24" s="137"/>
      <c r="L24" s="142"/>
      <c r="M24" s="148"/>
      <c r="N24" s="148"/>
    </row>
    <row r="25" spans="1:15" s="148" customFormat="1" ht="77.45" customHeight="1">
      <c r="A25" s="136"/>
      <c r="B25" s="137"/>
      <c r="C25" s="137">
        <f>IF(YEAR(Table133[[#This Row],[IMPLEMENTADO]])="","",YEAR(Table133[[#This Row],[IMPLEMENTADO]]))</f>
        <v>1900</v>
      </c>
      <c r="D25" s="138" t="str">
        <f>IF(Table133[[#This Row],[IMPLEMENTADO]]="","",TEXT(Table133[[#This Row],[IMPLEMENTADO]],"Mmm"))</f>
        <v/>
      </c>
      <c r="E25" s="137">
        <f>DAY(Table133[[#This Row],[IMPLEMENTADO]])</f>
        <v>0</v>
      </c>
      <c r="F25" s="149"/>
      <c r="G25" s="140"/>
      <c r="H25" s="141"/>
      <c r="I25" s="137"/>
      <c r="J25" s="137"/>
      <c r="K25" s="137"/>
      <c r="L25" s="142"/>
    </row>
    <row r="26" spans="1:15" s="147" customFormat="1" ht="77.45" customHeight="1">
      <c r="A26" s="136"/>
      <c r="B26" s="137"/>
      <c r="C26" s="137">
        <f>IF(YEAR(Table133[[#This Row],[IMPLEMENTADO]])="","",YEAR(Table133[[#This Row],[IMPLEMENTADO]]))</f>
        <v>1900</v>
      </c>
      <c r="D26" s="138" t="str">
        <f>IF(Table133[[#This Row],[IMPLEMENTADO]]="","",TEXT(Table133[[#This Row],[IMPLEMENTADO]],"Mmm"))</f>
        <v/>
      </c>
      <c r="E26" s="137">
        <f>DAY(Table133[[#This Row],[IMPLEMENTADO]])</f>
        <v>0</v>
      </c>
      <c r="F26" s="149"/>
      <c r="G26" s="140"/>
      <c r="H26" s="141"/>
      <c r="I26" s="137"/>
      <c r="J26" s="137"/>
      <c r="K26" s="137"/>
      <c r="L26" s="142"/>
      <c r="M26" s="148"/>
      <c r="N26" s="148"/>
      <c r="O26" s="148"/>
    </row>
    <row r="27" spans="1:15" s="147" customFormat="1" ht="77.45" customHeight="1">
      <c r="A27" s="136"/>
      <c r="B27" s="137"/>
      <c r="C27" s="137">
        <f>IF(YEAR(Table133[[#This Row],[IMPLEMENTADO]])="","",YEAR(Table133[[#This Row],[IMPLEMENTADO]]))</f>
        <v>1900</v>
      </c>
      <c r="D27" s="138" t="str">
        <f>IF(Table133[[#This Row],[IMPLEMENTADO]]="","",TEXT(Table133[[#This Row],[IMPLEMENTADO]],"Mmm"))</f>
        <v/>
      </c>
      <c r="E27" s="137">
        <f>DAY(Table133[[#This Row],[IMPLEMENTADO]])</f>
        <v>0</v>
      </c>
      <c r="F27" s="149"/>
      <c r="G27" s="149"/>
      <c r="H27" s="141"/>
      <c r="I27" s="137"/>
      <c r="J27" s="137"/>
      <c r="K27" s="137"/>
      <c r="L27" s="142"/>
      <c r="M27" s="148"/>
      <c r="N27" s="148"/>
      <c r="O27" s="148"/>
    </row>
    <row r="28" spans="1:15" s="147" customFormat="1" ht="77.45" customHeight="1">
      <c r="A28" s="136"/>
      <c r="B28" s="137"/>
      <c r="C28" s="137">
        <f>IF(YEAR(Table133[[#This Row],[IMPLEMENTADO]])="","",YEAR(Table133[[#This Row],[IMPLEMENTADO]]))</f>
        <v>1900</v>
      </c>
      <c r="D28" s="138" t="str">
        <f>IF(Table133[[#This Row],[IMPLEMENTADO]]="","",TEXT(Table133[[#This Row],[IMPLEMENTADO]],"Mmm"))</f>
        <v/>
      </c>
      <c r="E28" s="137">
        <f>DAY(Table133[[#This Row],[IMPLEMENTADO]])</f>
        <v>0</v>
      </c>
      <c r="F28" s="149"/>
      <c r="G28" s="149"/>
      <c r="H28" s="141"/>
      <c r="I28" s="137"/>
      <c r="J28" s="137"/>
      <c r="K28" s="137"/>
      <c r="L28" s="142"/>
      <c r="M28" s="148"/>
      <c r="N28" s="148"/>
      <c r="O28" s="148"/>
    </row>
    <row r="29" spans="1:15" s="147" customFormat="1" ht="77.45" customHeight="1">
      <c r="A29" s="136"/>
      <c r="B29" s="137"/>
      <c r="C29" s="137">
        <f>IF(YEAR(Table133[[#This Row],[IMPLEMENTADO]])="","",YEAR(Table133[[#This Row],[IMPLEMENTADO]]))</f>
        <v>1900</v>
      </c>
      <c r="D29" s="168" t="str">
        <f>IF(Table133[[#This Row],[IMPLEMENTADO]]="","",TEXT(Table133[[#This Row],[IMPLEMENTADO]],"Mmm"))</f>
        <v/>
      </c>
      <c r="E29" s="137">
        <f>DAY(Table133[[#This Row],[IMPLEMENTADO]])</f>
        <v>0</v>
      </c>
      <c r="F29" s="140"/>
      <c r="G29" s="149"/>
      <c r="H29" s="141"/>
      <c r="I29" s="137"/>
      <c r="J29" s="137"/>
      <c r="K29" s="137"/>
      <c r="L29" s="142"/>
      <c r="M29" s="148"/>
      <c r="N29" s="148"/>
    </row>
    <row r="30" spans="1:15" s="147" customFormat="1" ht="77.45" customHeight="1">
      <c r="A30" s="136"/>
      <c r="B30" s="137"/>
      <c r="C30" s="137">
        <f>IF(YEAR(Table133[[#This Row],[IMPLEMENTADO]])="","",YEAR(Table133[[#This Row],[IMPLEMENTADO]]))</f>
        <v>1900</v>
      </c>
      <c r="D30" s="138" t="str">
        <f>IF(Table133[[#This Row],[IMPLEMENTADO]]="","",TEXT(Table133[[#This Row],[IMPLEMENTADO]],"Mmm"))</f>
        <v/>
      </c>
      <c r="E30" s="137">
        <f>DAY(Table133[[#This Row],[IMPLEMENTADO]])</f>
        <v>0</v>
      </c>
      <c r="F30" s="140"/>
      <c r="G30" s="140"/>
      <c r="H30" s="141"/>
      <c r="I30" s="137"/>
      <c r="J30" s="137"/>
      <c r="K30" s="137"/>
      <c r="L30" s="142"/>
      <c r="M30" s="148"/>
      <c r="N30" s="148"/>
      <c r="O30" s="148"/>
    </row>
    <row r="31" spans="1:15" s="147" customFormat="1" ht="77.45" customHeight="1">
      <c r="A31" s="136"/>
      <c r="B31" s="137"/>
      <c r="C31" s="137">
        <f>IF(YEAR(Table133[[#This Row],[IMPLEMENTADO]])="","",YEAR(Table133[[#This Row],[IMPLEMENTADO]]))</f>
        <v>1900</v>
      </c>
      <c r="D31" s="138" t="str">
        <f>IF(Table133[[#This Row],[IMPLEMENTADO]]="","",TEXT(Table133[[#This Row],[IMPLEMENTADO]],"Mmm"))</f>
        <v/>
      </c>
      <c r="E31" s="137">
        <f>DAY(Table133[[#This Row],[IMPLEMENTADO]])</f>
        <v>0</v>
      </c>
      <c r="F31" s="149"/>
      <c r="G31" s="149"/>
      <c r="H31" s="141"/>
      <c r="I31" s="137"/>
      <c r="J31" s="137"/>
      <c r="K31" s="137"/>
      <c r="L31" s="142"/>
      <c r="M31" s="148"/>
      <c r="N31" s="148"/>
    </row>
    <row r="32" spans="1:15" s="147" customFormat="1" ht="77.45" customHeight="1">
      <c r="A32" s="136"/>
      <c r="B32" s="137"/>
      <c r="C32" s="137">
        <f>IF(YEAR(Table133[[#This Row],[IMPLEMENTADO]])="","",YEAR(Table133[[#This Row],[IMPLEMENTADO]]))</f>
        <v>1900</v>
      </c>
      <c r="D32" s="138" t="str">
        <f>IF(Table133[[#This Row],[IMPLEMENTADO]]="","",TEXT(Table133[[#This Row],[IMPLEMENTADO]],"Mmm"))</f>
        <v/>
      </c>
      <c r="E32" s="137">
        <f>DAY(Table133[[#This Row],[IMPLEMENTADO]])</f>
        <v>0</v>
      </c>
      <c r="F32" s="149"/>
      <c r="G32" s="149"/>
      <c r="H32" s="141"/>
      <c r="I32" s="137"/>
      <c r="J32" s="137"/>
      <c r="K32" s="137"/>
      <c r="L32" s="142"/>
      <c r="M32" s="148"/>
      <c r="N32" s="148"/>
    </row>
    <row r="33" spans="1:15" s="147" customFormat="1" ht="77.45" customHeight="1">
      <c r="A33" s="136"/>
      <c r="B33" s="137"/>
      <c r="C33" s="137">
        <f>IF(YEAR(Table133[[#This Row],[IMPLEMENTADO]])="","",YEAR(Table133[[#This Row],[IMPLEMENTADO]]))</f>
        <v>1900</v>
      </c>
      <c r="D33" s="138" t="str">
        <f>IF(Table133[[#This Row],[IMPLEMENTADO]]="","",TEXT(Table133[[#This Row],[IMPLEMENTADO]],"Mmm"))</f>
        <v/>
      </c>
      <c r="E33" s="137">
        <f>DAY(Table133[[#This Row],[IMPLEMENTADO]])</f>
        <v>0</v>
      </c>
      <c r="F33" s="140"/>
      <c r="G33" s="158"/>
      <c r="H33" s="141"/>
      <c r="I33" s="142"/>
      <c r="J33" s="142"/>
      <c r="K33" s="142"/>
      <c r="L33" s="142"/>
      <c r="M33" s="148"/>
      <c r="N33" s="148"/>
    </row>
    <row r="34" spans="1:15" s="147" customFormat="1" ht="77.45" customHeight="1">
      <c r="A34" s="136"/>
      <c r="B34" s="137"/>
      <c r="C34" s="137">
        <f>IF(YEAR(Table133[[#This Row],[IMPLEMENTADO]])="","",YEAR(Table133[[#This Row],[IMPLEMENTADO]]))</f>
        <v>1900</v>
      </c>
      <c r="D34" s="138" t="str">
        <f>IF(Table133[[#This Row],[IMPLEMENTADO]]="","",TEXT(Table133[[#This Row],[IMPLEMENTADO]],"Mmm"))</f>
        <v/>
      </c>
      <c r="E34" s="137">
        <f>DAY(Table133[[#This Row],[IMPLEMENTADO]])</f>
        <v>0</v>
      </c>
      <c r="F34" s="140"/>
      <c r="G34" s="140"/>
      <c r="H34" s="141"/>
      <c r="I34" s="137"/>
      <c r="J34" s="137"/>
      <c r="K34" s="169"/>
      <c r="L34" s="142"/>
      <c r="M34" s="148"/>
      <c r="N34" s="148"/>
    </row>
    <row r="35" spans="1:15" s="147" customFormat="1" ht="77.45" customHeight="1">
      <c r="A35" s="136"/>
      <c r="B35" s="137"/>
      <c r="C35" s="137">
        <f>IF(YEAR(Table133[[#This Row],[IMPLEMENTADO]])="","",YEAR(Table133[[#This Row],[IMPLEMENTADO]]))</f>
        <v>1900</v>
      </c>
      <c r="D35" s="138" t="str">
        <f>IF(Table133[[#This Row],[IMPLEMENTADO]]="","",TEXT(Table133[[#This Row],[IMPLEMENTADO]],"Mmm"))</f>
        <v/>
      </c>
      <c r="E35" s="137">
        <f>DAY(Table133[[#This Row],[IMPLEMENTADO]])</f>
        <v>0</v>
      </c>
      <c r="F35" s="140"/>
      <c r="G35" s="140"/>
      <c r="H35" s="141"/>
      <c r="I35" s="137"/>
      <c r="J35" s="137"/>
      <c r="K35" s="169"/>
      <c r="L35" s="142"/>
      <c r="M35" s="148"/>
      <c r="N35" s="148"/>
    </row>
    <row r="36" spans="1:15" s="147" customFormat="1" ht="77.45" customHeight="1">
      <c r="A36" s="136"/>
      <c r="B36" s="137"/>
      <c r="C36" s="137">
        <f>IF(YEAR(Table133[[#This Row],[IMPLEMENTADO]])="","",YEAR(Table133[[#This Row],[IMPLEMENTADO]]))</f>
        <v>1900</v>
      </c>
      <c r="D36" s="138" t="str">
        <f>IF(Table133[[#This Row],[IMPLEMENTADO]]="","",TEXT(Table133[[#This Row],[IMPLEMENTADO]],"Mmm"))</f>
        <v/>
      </c>
      <c r="E36" s="137">
        <f>DAY(Table133[[#This Row],[IMPLEMENTADO]])</f>
        <v>0</v>
      </c>
      <c r="F36" s="140"/>
      <c r="G36" s="149"/>
      <c r="H36" s="141"/>
      <c r="I36" s="137"/>
      <c r="J36" s="137"/>
      <c r="K36" s="137"/>
      <c r="L36" s="142"/>
      <c r="M36" s="148"/>
      <c r="N36" s="148"/>
    </row>
    <row r="37" spans="1:15" s="147" customFormat="1" ht="77.45" customHeight="1">
      <c r="A37" s="136"/>
      <c r="B37" s="137"/>
      <c r="C37" s="137">
        <f>IF(YEAR(Table133[[#This Row],[IMPLEMENTADO]])="","",YEAR(Table133[[#This Row],[IMPLEMENTADO]]))</f>
        <v>1900</v>
      </c>
      <c r="D37" s="168" t="str">
        <f>IF(Table133[[#This Row],[IMPLEMENTADO]]="","",TEXT(Table133[[#This Row],[IMPLEMENTADO]],"Mmm"))</f>
        <v/>
      </c>
      <c r="E37" s="137">
        <f>DAY(Table133[[#This Row],[IMPLEMENTADO]])</f>
        <v>0</v>
      </c>
      <c r="F37" s="149"/>
      <c r="G37" s="139"/>
      <c r="H37" s="141"/>
      <c r="I37" s="137"/>
      <c r="J37" s="137"/>
      <c r="K37" s="137"/>
      <c r="L37" s="142"/>
      <c r="M37" s="148"/>
      <c r="N37" s="148"/>
    </row>
    <row r="38" spans="1:15" s="147" customFormat="1" ht="77.45" customHeight="1">
      <c r="A38" s="136"/>
      <c r="B38" s="137"/>
      <c r="C38" s="137">
        <f>IF(YEAR(Table133[[#This Row],[IMPLEMENTADO]])="","",YEAR(Table133[[#This Row],[IMPLEMENTADO]]))</f>
        <v>1900</v>
      </c>
      <c r="D38" s="138" t="str">
        <f>IF(Table133[[#This Row],[IMPLEMENTADO]]="","",TEXT(Table133[[#This Row],[IMPLEMENTADO]],"Mmm"))</f>
        <v/>
      </c>
      <c r="E38" s="137">
        <f>DAY(Table133[[#This Row],[IMPLEMENTADO]])</f>
        <v>0</v>
      </c>
      <c r="F38" s="139"/>
      <c r="G38" s="139"/>
      <c r="H38" s="141"/>
      <c r="I38" s="142"/>
      <c r="J38" s="142"/>
      <c r="K38" s="142"/>
      <c r="L38" s="142"/>
      <c r="M38" s="148"/>
      <c r="N38" s="148"/>
    </row>
    <row r="39" spans="1:15" s="147" customFormat="1" ht="77.45" customHeight="1">
      <c r="A39" s="136"/>
      <c r="B39" s="137"/>
      <c r="C39" s="137">
        <f>IF(YEAR(Table133[[#This Row],[IMPLEMENTADO]])="","",YEAR(Table133[[#This Row],[IMPLEMENTADO]]))</f>
        <v>1900</v>
      </c>
      <c r="D39" s="138" t="str">
        <f>IF(Table133[[#This Row],[IMPLEMENTADO]]="","",TEXT(Table133[[#This Row],[IMPLEMENTADO]],"Mmm"))</f>
        <v/>
      </c>
      <c r="E39" s="137">
        <f>DAY(Table133[[#This Row],[IMPLEMENTADO]])</f>
        <v>0</v>
      </c>
      <c r="F39" s="139"/>
      <c r="G39" s="139"/>
      <c r="H39" s="141"/>
      <c r="I39" s="142"/>
      <c r="J39" s="142"/>
      <c r="K39" s="142"/>
      <c r="L39" s="142"/>
    </row>
    <row r="40" spans="1:15" s="147" customFormat="1" ht="77.45" customHeight="1">
      <c r="A40" s="136"/>
      <c r="B40" s="137"/>
      <c r="C40" s="137">
        <f>IF(YEAR(Table133[[#This Row],[IMPLEMENTADO]])="","",YEAR(Table133[[#This Row],[IMPLEMENTADO]]))</f>
        <v>1900</v>
      </c>
      <c r="D40" s="138" t="str">
        <f>IF(Table133[[#This Row],[IMPLEMENTADO]]="","",TEXT(Table133[[#This Row],[IMPLEMENTADO]],"Mmm"))</f>
        <v/>
      </c>
      <c r="E40" s="137">
        <f>DAY(Table133[[#This Row],[IMPLEMENTADO]])</f>
        <v>0</v>
      </c>
      <c r="F40" s="149"/>
      <c r="G40" s="158"/>
      <c r="H40" s="141"/>
      <c r="I40" s="142"/>
      <c r="J40" s="137"/>
      <c r="K40" s="137"/>
      <c r="L40" s="142"/>
      <c r="M40" s="148"/>
      <c r="N40" s="148"/>
      <c r="O40" s="148"/>
    </row>
    <row r="41" spans="1:15" s="147" customFormat="1" ht="77.45" customHeight="1">
      <c r="A41" s="136"/>
      <c r="B41" s="137"/>
      <c r="C41" s="137">
        <f>IF(YEAR(Table133[[#This Row],[IMPLEMENTADO]])="","",YEAR(Table133[[#This Row],[IMPLEMENTADO]]))</f>
        <v>1900</v>
      </c>
      <c r="D41" s="138" t="str">
        <f>IF(Table133[[#This Row],[IMPLEMENTADO]]="","",TEXT(Table133[[#This Row],[IMPLEMENTADO]],"Mmm"))</f>
        <v/>
      </c>
      <c r="E41" s="137">
        <f>DAY(Table133[[#This Row],[IMPLEMENTADO]])</f>
        <v>0</v>
      </c>
      <c r="F41" s="139"/>
      <c r="G41" s="139"/>
      <c r="H41" s="141"/>
      <c r="I41" s="142"/>
      <c r="J41" s="142"/>
      <c r="K41" s="142"/>
      <c r="L41" s="142"/>
      <c r="M41" s="148"/>
      <c r="N41" s="148"/>
      <c r="O41" s="148"/>
    </row>
    <row r="42" spans="1:15" s="147" customFormat="1" ht="77.45" customHeight="1">
      <c r="A42" s="136"/>
      <c r="B42" s="137"/>
      <c r="C42" s="137">
        <f>IF(YEAR(Table133[[#This Row],[IMPLEMENTADO]])="","",YEAR(Table133[[#This Row],[IMPLEMENTADO]]))</f>
        <v>1900</v>
      </c>
      <c r="D42" s="138" t="str">
        <f>IF(Table133[[#This Row],[IMPLEMENTADO]]="","",TEXT(Table133[[#This Row],[IMPLEMENTADO]],"Mmm"))</f>
        <v/>
      </c>
      <c r="E42" s="137">
        <f>DAY(Table133[[#This Row],[IMPLEMENTADO]])</f>
        <v>0</v>
      </c>
      <c r="F42" s="149"/>
      <c r="G42" s="139"/>
      <c r="H42" s="141"/>
      <c r="I42" s="142"/>
      <c r="J42" s="142"/>
      <c r="K42" s="142"/>
      <c r="L42" s="142"/>
      <c r="M42" s="148"/>
    </row>
    <row r="43" spans="1:15" s="147" customFormat="1" ht="77.45" customHeight="1">
      <c r="A43" s="136"/>
      <c r="B43" s="137"/>
      <c r="C43" s="137">
        <f>IF(YEAR(Table133[[#This Row],[IMPLEMENTADO]])="","",YEAR(Table133[[#This Row],[IMPLEMENTADO]]))</f>
        <v>1900</v>
      </c>
      <c r="D43" s="138" t="str">
        <f>IF(Table133[[#This Row],[IMPLEMENTADO]]="","",TEXT(Table133[[#This Row],[IMPLEMENTADO]],"Mmm"))</f>
        <v/>
      </c>
      <c r="E43" s="137">
        <f>DAY(Table133[[#This Row],[IMPLEMENTADO]])</f>
        <v>0</v>
      </c>
      <c r="F43" s="140"/>
      <c r="G43" s="139"/>
      <c r="H43" s="141"/>
      <c r="I43" s="142"/>
      <c r="J43" s="142"/>
      <c r="K43" s="142"/>
      <c r="L43" s="142"/>
      <c r="M43" s="148"/>
    </row>
    <row r="44" spans="1:15" s="147" customFormat="1" ht="77.45" customHeight="1">
      <c r="A44" s="136"/>
      <c r="B44" s="137"/>
      <c r="C44" s="137">
        <f>IF(YEAR(Table133[[#This Row],[IMPLEMENTADO]])="","",YEAR(Table133[[#This Row],[IMPLEMENTADO]]))</f>
        <v>1900</v>
      </c>
      <c r="D44" s="138" t="str">
        <f>IF(Table133[[#This Row],[IMPLEMENTADO]]="","",TEXT(Table133[[#This Row],[IMPLEMENTADO]],"Mmm"))</f>
        <v/>
      </c>
      <c r="E44" s="137">
        <f>DAY(Table133[[#This Row],[IMPLEMENTADO]])</f>
        <v>0</v>
      </c>
      <c r="F44" s="149"/>
      <c r="G44" s="139"/>
      <c r="H44" s="141"/>
      <c r="I44" s="142"/>
      <c r="J44" s="142"/>
      <c r="K44" s="142"/>
      <c r="L44" s="142"/>
      <c r="M44" s="148"/>
    </row>
    <row r="45" spans="1:15" s="147" customFormat="1" ht="77.45" customHeight="1">
      <c r="A45" s="136"/>
      <c r="B45" s="137"/>
      <c r="C45" s="137">
        <f>IF(YEAR(Table133[[#This Row],[IMPLEMENTADO]])="","",YEAR(Table133[[#This Row],[IMPLEMENTADO]]))</f>
        <v>1900</v>
      </c>
      <c r="D45" s="138" t="str">
        <f>IF(Table133[[#This Row],[IMPLEMENTADO]]="","",TEXT(Table133[[#This Row],[IMPLEMENTADO]],"Mmm"))</f>
        <v/>
      </c>
      <c r="E45" s="137">
        <f>DAY(Table133[[#This Row],[IMPLEMENTADO]])</f>
        <v>0</v>
      </c>
      <c r="F45" s="140"/>
      <c r="G45" s="140"/>
      <c r="H45" s="141"/>
      <c r="I45" s="137"/>
      <c r="J45" s="137"/>
      <c r="K45" s="137"/>
      <c r="L45" s="142"/>
      <c r="M45" s="148"/>
    </row>
    <row r="46" spans="1:15" s="147" customFormat="1" ht="77.45" customHeight="1">
      <c r="A46" s="136"/>
      <c r="B46" s="137"/>
      <c r="C46" s="137">
        <f>IF(YEAR(Table133[[#This Row],[IMPLEMENTADO]])="","",YEAR(Table133[[#This Row],[IMPLEMENTADO]]))</f>
        <v>1900</v>
      </c>
      <c r="D46" s="138" t="str">
        <f>IF(Table133[[#This Row],[IMPLEMENTADO]]="","",TEXT(Table133[[#This Row],[IMPLEMENTADO]],"Mmm"))</f>
        <v/>
      </c>
      <c r="E46" s="137">
        <f>DAY(Table133[[#This Row],[IMPLEMENTADO]])</f>
        <v>0</v>
      </c>
      <c r="F46" s="149"/>
      <c r="G46" s="140"/>
      <c r="H46" s="141"/>
      <c r="I46" s="142"/>
      <c r="J46" s="142"/>
      <c r="K46" s="142"/>
      <c r="L46" s="142"/>
      <c r="M46" s="148"/>
    </row>
    <row r="47" spans="1:15" s="147" customFormat="1" ht="125.1" customHeight="1">
      <c r="A47" s="136"/>
      <c r="B47" s="137"/>
      <c r="C47" s="137">
        <f>IF(YEAR(Table133[[#This Row],[IMPLEMENTADO]])="","",YEAR(Table133[[#This Row],[IMPLEMENTADO]]))</f>
        <v>1900</v>
      </c>
      <c r="D47" s="138" t="str">
        <f>IF(Table133[[#This Row],[IMPLEMENTADO]]="","",TEXT(Table133[[#This Row],[IMPLEMENTADO]],"Mmm"))</f>
        <v/>
      </c>
      <c r="E47" s="137">
        <f>DAY(Table133[[#This Row],[IMPLEMENTADO]])</f>
        <v>0</v>
      </c>
      <c r="F47" s="140"/>
      <c r="G47" s="149"/>
      <c r="H47" s="141"/>
      <c r="I47" s="142"/>
      <c r="J47" s="142"/>
      <c r="K47" s="142"/>
      <c r="L47" s="142"/>
      <c r="M47" s="148"/>
    </row>
    <row r="48" spans="1:15" s="147" customFormat="1" ht="77.45" customHeight="1">
      <c r="A48" s="136"/>
      <c r="B48" s="137"/>
      <c r="C48" s="137">
        <f>IF(YEAR(Table133[[#This Row],[IMPLEMENTADO]])="","",YEAR(Table133[[#This Row],[IMPLEMENTADO]]))</f>
        <v>1900</v>
      </c>
      <c r="D48" s="138" t="str">
        <f>IF(Table133[[#This Row],[IMPLEMENTADO]]="","",TEXT(Table133[[#This Row],[IMPLEMENTADO]],"Mmm"))</f>
        <v/>
      </c>
      <c r="E48" s="137">
        <f>DAY(Table133[[#This Row],[IMPLEMENTADO]])</f>
        <v>0</v>
      </c>
      <c r="F48" s="140"/>
      <c r="G48" s="140"/>
      <c r="H48" s="141"/>
      <c r="I48" s="137"/>
      <c r="J48" s="137"/>
      <c r="K48" s="137"/>
      <c r="L48" s="142"/>
      <c r="M48" s="148"/>
    </row>
    <row r="49" spans="1:18" s="147" customFormat="1" ht="77.45" customHeight="1">
      <c r="A49" s="164"/>
      <c r="B49" s="137"/>
      <c r="C49" s="163">
        <f>IF(YEAR(Table133[[#This Row],[IMPLEMENTADO]])="","",YEAR(Table133[[#This Row],[IMPLEMENTADO]]))</f>
        <v>1900</v>
      </c>
      <c r="D49" s="138" t="s">
        <v>184</v>
      </c>
      <c r="E49" s="163">
        <f>DAY(Table133[[#This Row],[IMPLEMENTADO]])</f>
        <v>0</v>
      </c>
      <c r="F49" s="140"/>
      <c r="G49" s="149"/>
      <c r="H49" s="141"/>
      <c r="I49" s="137"/>
      <c r="J49" s="137"/>
      <c r="K49" s="137"/>
      <c r="L49" s="142"/>
      <c r="M49" s="148"/>
    </row>
    <row r="50" spans="1:18" s="147" customFormat="1" ht="125.1" customHeight="1">
      <c r="A50" s="136"/>
      <c r="B50" s="137"/>
      <c r="C50" s="163">
        <f>IF(YEAR(Table133[[#This Row],[IMPLEMENTADO]])="","",YEAR(Table133[[#This Row],[IMPLEMENTADO]]))</f>
        <v>1900</v>
      </c>
      <c r="D50" s="138" t="str">
        <f>IF(Table133[[#This Row],[IMPLEMENTADO]]="","",TEXT(Table133[[#This Row],[IMPLEMENTADO]],"Mmm"))</f>
        <v/>
      </c>
      <c r="E50" s="163">
        <f>DAY(Table133[[#This Row],[IMPLEMENTADO]])</f>
        <v>0</v>
      </c>
      <c r="F50" s="140"/>
      <c r="G50" s="149"/>
      <c r="H50" s="141"/>
      <c r="I50" s="137"/>
      <c r="J50" s="137"/>
      <c r="K50" s="137"/>
      <c r="L50" s="142"/>
      <c r="M50" s="148"/>
    </row>
    <row r="51" spans="1:18" s="147" customFormat="1" ht="108.6" customHeight="1">
      <c r="A51" s="164"/>
      <c r="B51" s="137"/>
      <c r="C51" s="163">
        <f>IF(YEAR(Table133[[#This Row],[IMPLEMENTADO]])="","",YEAR(Table133[[#This Row],[IMPLEMENTADO]]))</f>
        <v>1900</v>
      </c>
      <c r="D51" s="138" t="s">
        <v>184</v>
      </c>
      <c r="E51" s="163">
        <f>DAY(Table133[[#This Row],[IMPLEMENTADO]])</f>
        <v>0</v>
      </c>
      <c r="F51" s="140"/>
      <c r="G51" s="149"/>
      <c r="H51" s="141"/>
      <c r="I51" s="137"/>
      <c r="J51" s="137"/>
      <c r="K51" s="137"/>
      <c r="L51" s="142"/>
      <c r="M51" s="148"/>
    </row>
    <row r="52" spans="1:18" s="147" customFormat="1" ht="80.099999999999994" customHeight="1">
      <c r="A52" s="164"/>
      <c r="B52" s="137"/>
      <c r="C52" s="163">
        <f>IF(YEAR(Table133[[#This Row],[IMPLEMENTADO]])="","",YEAR(Table133[[#This Row],[IMPLEMENTADO]]))</f>
        <v>1900</v>
      </c>
      <c r="D52" s="138" t="s">
        <v>184</v>
      </c>
      <c r="E52" s="163">
        <f>DAY(Table133[[#This Row],[IMPLEMENTADO]])</f>
        <v>0</v>
      </c>
      <c r="F52" s="140"/>
      <c r="G52" s="149"/>
      <c r="H52" s="141"/>
      <c r="I52" s="137"/>
      <c r="J52" s="137"/>
      <c r="K52" s="137"/>
      <c r="L52" s="142"/>
      <c r="M52" s="148"/>
    </row>
    <row r="53" spans="1:18" s="147" customFormat="1" ht="80.099999999999994" customHeight="1">
      <c r="A53" s="164"/>
      <c r="B53" s="137"/>
      <c r="C53" s="163">
        <f>IF(YEAR(Table133[[#This Row],[IMPLEMENTADO]])="","",YEAR(Table133[[#This Row],[IMPLEMENTADO]]))</f>
        <v>1900</v>
      </c>
      <c r="D53" s="138" t="str">
        <f>IF(Table133[[#This Row],[IMPLEMENTADO]]="","",TEXT(Table133[[#This Row],[IMPLEMENTADO]],"Mmm"))</f>
        <v/>
      </c>
      <c r="E53" s="163">
        <f>DAY(Table133[[#This Row],[IMPLEMENTADO]])</f>
        <v>0</v>
      </c>
      <c r="F53" s="140"/>
      <c r="G53" s="149"/>
      <c r="H53" s="172"/>
      <c r="I53" s="137"/>
      <c r="J53" s="137"/>
      <c r="K53" s="137"/>
      <c r="L53" s="142"/>
      <c r="M53" s="148"/>
    </row>
    <row r="54" spans="1:18" s="147" customFormat="1" ht="15">
      <c r="A54" s="164"/>
      <c r="B54" s="137"/>
      <c r="C54" s="163">
        <f>IF(YEAR(Table133[[#This Row],[IMPLEMENTADO]])="","",YEAR(Table133[[#This Row],[IMPLEMENTADO]]))</f>
        <v>1900</v>
      </c>
      <c r="D54" s="138" t="str">
        <f>IF(Table133[[#This Row],[IMPLEMENTADO]]="","",TEXT(Table133[[#This Row],[IMPLEMENTADO]],"Mmm"))</f>
        <v/>
      </c>
      <c r="E54" s="163">
        <f>DAY(Table133[[#This Row],[IMPLEMENTADO]])</f>
        <v>0</v>
      </c>
      <c r="F54" s="149"/>
      <c r="G54" s="149"/>
      <c r="H54" s="172"/>
      <c r="I54" s="137"/>
      <c r="J54" s="137"/>
      <c r="K54" s="169"/>
      <c r="L54" s="142"/>
      <c r="M54" s="148"/>
    </row>
    <row r="55" spans="1:18" s="147" customFormat="1" ht="80.099999999999994" customHeight="1">
      <c r="A55" s="164"/>
      <c r="B55" s="137"/>
      <c r="C55" s="163">
        <f>IF(YEAR(Table133[[#This Row],[IMPLEMENTADO]])="","",YEAR(Table133[[#This Row],[IMPLEMENTADO]]))</f>
        <v>1900</v>
      </c>
      <c r="D55" s="138" t="str">
        <f>IF(Table133[[#This Row],[IMPLEMENTADO]]="","",TEXT(Table133[[#This Row],[IMPLEMENTADO]],"Mmm"))</f>
        <v/>
      </c>
      <c r="E55" s="163">
        <f>DAY(Table133[[#This Row],[IMPLEMENTADO]])</f>
        <v>0</v>
      </c>
      <c r="F55" s="149"/>
      <c r="G55" s="149"/>
      <c r="H55" s="172"/>
      <c r="I55" s="137"/>
      <c r="J55" s="137"/>
      <c r="K55" s="169"/>
      <c r="L55" s="142"/>
      <c r="M55" s="148"/>
    </row>
    <row r="56" spans="1:18" s="147" customFormat="1" ht="80.099999999999994" customHeight="1">
      <c r="A56" s="164"/>
      <c r="B56" s="137"/>
      <c r="C56" s="163">
        <f>IF(YEAR(Table133[[#This Row],[IMPLEMENTADO]])="","",YEAR(Table133[[#This Row],[IMPLEMENTADO]]))</f>
        <v>1900</v>
      </c>
      <c r="D56" s="138" t="str">
        <f>IF(Table133[[#This Row],[IMPLEMENTADO]]="","",TEXT(Table133[[#This Row],[IMPLEMENTADO]],"Mmm"))</f>
        <v/>
      </c>
      <c r="E56" s="163">
        <f>DAY(Table133[[#This Row],[IMPLEMENTADO]])</f>
        <v>0</v>
      </c>
      <c r="F56" s="149"/>
      <c r="G56" s="149"/>
      <c r="H56" s="172"/>
      <c r="I56" s="137"/>
      <c r="J56" s="137"/>
      <c r="K56" s="137"/>
      <c r="L56" s="142"/>
      <c r="M56" s="148"/>
    </row>
    <row r="57" spans="1:18" ht="15">
      <c r="A57" s="164"/>
      <c r="B57" s="137"/>
      <c r="C57" s="163">
        <f>IF(YEAR(Table133[[#This Row],[IMPLEMENTADO]])="","",YEAR(Table133[[#This Row],[IMPLEMENTADO]]))</f>
        <v>1900</v>
      </c>
      <c r="D57" s="138" t="str">
        <f>IF(Table133[[#This Row],[IMPLEMENTADO]]="","",TEXT(Table133[[#This Row],[IMPLEMENTADO]],"Mmm"))</f>
        <v/>
      </c>
      <c r="E57" s="163">
        <f>DAY(Table133[[#This Row],[IMPLEMENTADO]])</f>
        <v>0</v>
      </c>
      <c r="F57" s="140"/>
      <c r="G57" s="149"/>
      <c r="H57" s="172"/>
      <c r="I57" s="137"/>
      <c r="J57" s="137"/>
      <c r="K57" s="169"/>
      <c r="L57" s="142"/>
      <c r="N57" s="113"/>
      <c r="O57" s="113"/>
      <c r="P57" s="113"/>
      <c r="Q57" s="113"/>
      <c r="R57" s="113"/>
    </row>
    <row r="58" spans="1:18" ht="80.099999999999994" customHeight="1">
      <c r="A58" s="164"/>
      <c r="B58" s="137"/>
      <c r="C58" s="163">
        <f>IF(YEAR(Table133[[#This Row],[IMPLEMENTADO]])="","",YEAR(Table133[[#This Row],[IMPLEMENTADO]]))</f>
        <v>1900</v>
      </c>
      <c r="D58" s="138" t="str">
        <f>IF(Table133[[#This Row],[IMPLEMENTADO]]="","",TEXT(Table133[[#This Row],[IMPLEMENTADO]],"Mmm"))</f>
        <v/>
      </c>
      <c r="E58" s="163">
        <f>DAY(Table133[[#This Row],[IMPLEMENTADO]])</f>
        <v>0</v>
      </c>
      <c r="F58" s="140"/>
      <c r="G58" s="140"/>
      <c r="H58" s="172"/>
      <c r="I58" s="137"/>
      <c r="J58" s="137"/>
      <c r="K58" s="137"/>
      <c r="L58" s="173"/>
      <c r="N58" s="113"/>
      <c r="O58" s="113"/>
      <c r="P58" s="113"/>
      <c r="Q58" s="113"/>
      <c r="R58" s="113"/>
    </row>
    <row r="59" spans="1:18" ht="80.099999999999994" customHeight="1">
      <c r="A59" s="164"/>
      <c r="B59" s="137"/>
      <c r="C59" s="163">
        <f>IF(YEAR(Table133[[#This Row],[IMPLEMENTADO]])="","",YEAR(Table133[[#This Row],[IMPLEMENTADO]]))</f>
        <v>1900</v>
      </c>
      <c r="D59" s="138" t="str">
        <f>IF(Table133[[#This Row],[IMPLEMENTADO]]="","",TEXT(Table133[[#This Row],[IMPLEMENTADO]],"Mmm"))</f>
        <v/>
      </c>
      <c r="E59" s="163">
        <f>DAY(Table133[[#This Row],[IMPLEMENTADO]])</f>
        <v>0</v>
      </c>
      <c r="F59" s="140"/>
      <c r="G59" s="140"/>
      <c r="H59" s="172"/>
      <c r="I59" s="137"/>
      <c r="J59" s="137"/>
      <c r="K59" s="137"/>
      <c r="L59" s="173"/>
      <c r="N59" s="113"/>
      <c r="O59" s="113"/>
      <c r="P59" s="113"/>
      <c r="Q59" s="113"/>
      <c r="R59" s="113"/>
    </row>
    <row r="60" spans="1:18" ht="80.099999999999994" customHeight="1">
      <c r="A60" s="164"/>
      <c r="B60" s="137"/>
      <c r="C60" s="163">
        <f>IF(YEAR(Table133[[#This Row],[IMPLEMENTADO]])="","",YEAR(Table133[[#This Row],[IMPLEMENTADO]]))</f>
        <v>1900</v>
      </c>
      <c r="D60" s="138" t="str">
        <f>IF(Table133[[#This Row],[IMPLEMENTADO]]="","",TEXT(Table133[[#This Row],[IMPLEMENTADO]],"Mmm"))</f>
        <v/>
      </c>
      <c r="E60" s="163">
        <f>DAY(Table133[[#This Row],[IMPLEMENTADO]])</f>
        <v>0</v>
      </c>
      <c r="F60" s="140"/>
      <c r="G60" s="140"/>
      <c r="H60" s="172"/>
      <c r="I60" s="137"/>
      <c r="J60" s="137"/>
      <c r="K60" s="137"/>
      <c r="L60" s="173"/>
      <c r="N60" s="113"/>
      <c r="O60" s="113"/>
      <c r="P60" s="113"/>
      <c r="Q60" s="113"/>
      <c r="R60" s="113"/>
    </row>
    <row r="61" spans="1:18" ht="80.099999999999994" customHeight="1">
      <c r="A61" s="164"/>
      <c r="B61" s="137"/>
      <c r="C61" s="163">
        <f>IF(YEAR(Table133[[#This Row],[IMPLEMENTADO]])="","",YEAR(Table133[[#This Row],[IMPLEMENTADO]]))</f>
        <v>1900</v>
      </c>
      <c r="D61" s="138" t="str">
        <f>IF(Table133[[#This Row],[IMPLEMENTADO]]="","",TEXT(Table133[[#This Row],[IMPLEMENTADO]],"Mmm"))</f>
        <v/>
      </c>
      <c r="E61" s="163">
        <f>DAY(Table133[[#This Row],[IMPLEMENTADO]])</f>
        <v>0</v>
      </c>
      <c r="F61" s="140"/>
      <c r="G61" s="140"/>
      <c r="H61" s="172"/>
      <c r="I61" s="137"/>
      <c r="J61" s="137"/>
      <c r="K61" s="137"/>
      <c r="L61" s="173"/>
      <c r="N61" s="113"/>
      <c r="O61" s="113"/>
      <c r="P61" s="113"/>
      <c r="Q61" s="113"/>
      <c r="R61" s="113"/>
    </row>
    <row r="62" spans="1:18" ht="80.099999999999994" customHeight="1">
      <c r="A62" s="164"/>
      <c r="B62" s="137"/>
      <c r="C62" s="163">
        <f>IF(YEAR(Table133[[#This Row],[IMPLEMENTADO]])="","",YEAR(Table133[[#This Row],[IMPLEMENTADO]]))</f>
        <v>1900</v>
      </c>
      <c r="D62" s="138" t="str">
        <f>IF(Table133[[#This Row],[IMPLEMENTADO]]="","",TEXT(Table133[[#This Row],[IMPLEMENTADO]],"Mmm"))</f>
        <v/>
      </c>
      <c r="E62" s="163">
        <f>DAY(Table133[[#This Row],[IMPLEMENTADO]])</f>
        <v>0</v>
      </c>
      <c r="F62" s="140"/>
      <c r="G62" s="140"/>
      <c r="H62" s="172"/>
      <c r="I62" s="137"/>
      <c r="J62" s="137"/>
      <c r="K62" s="137"/>
      <c r="L62" s="173"/>
      <c r="N62" s="113"/>
      <c r="O62" s="113"/>
      <c r="P62" s="113"/>
      <c r="Q62" s="113"/>
      <c r="R62" s="113"/>
    </row>
    <row r="63" spans="1:18" ht="80.099999999999994" customHeight="1">
      <c r="A63" s="164"/>
      <c r="B63" s="137"/>
      <c r="C63" s="163">
        <f>IF(YEAR(Table133[[#This Row],[IMPLEMENTADO]])="","",YEAR(Table133[[#This Row],[IMPLEMENTADO]]))</f>
        <v>1900</v>
      </c>
      <c r="D63" s="138" t="str">
        <f>IF(Table133[[#This Row],[IMPLEMENTADO]]="","",TEXT(Table133[[#This Row],[IMPLEMENTADO]],"Mmm"))</f>
        <v/>
      </c>
      <c r="E63" s="163">
        <f>DAY(Table133[[#This Row],[IMPLEMENTADO]])</f>
        <v>0</v>
      </c>
      <c r="F63" s="140"/>
      <c r="G63" s="140"/>
      <c r="H63" s="172"/>
      <c r="I63" s="137"/>
      <c r="J63" s="137"/>
      <c r="K63" s="137"/>
      <c r="L63" s="173"/>
      <c r="N63" s="113"/>
      <c r="O63" s="113"/>
      <c r="P63" s="113"/>
      <c r="Q63" s="113"/>
      <c r="R63" s="113"/>
    </row>
    <row r="64" spans="1:18" ht="80.099999999999994" customHeight="1">
      <c r="A64" s="164"/>
      <c r="B64" s="137"/>
      <c r="C64" s="163">
        <f>IF(YEAR(Table133[[#This Row],[IMPLEMENTADO]])="","",YEAR(Table133[[#This Row],[IMPLEMENTADO]]))</f>
        <v>1900</v>
      </c>
      <c r="D64" s="138" t="str">
        <f>IF(Table133[[#This Row],[IMPLEMENTADO]]="","",TEXT(Table133[[#This Row],[IMPLEMENTADO]],"Mmm"))</f>
        <v/>
      </c>
      <c r="E64" s="163">
        <f>DAY(Table133[[#This Row],[IMPLEMENTADO]])</f>
        <v>0</v>
      </c>
      <c r="F64" s="140"/>
      <c r="G64" s="140"/>
      <c r="H64" s="172"/>
      <c r="I64" s="137"/>
      <c r="J64" s="137"/>
      <c r="K64" s="137"/>
      <c r="L64" s="173"/>
      <c r="N64" s="113"/>
      <c r="O64" s="113"/>
      <c r="P64" s="113"/>
      <c r="Q64" s="113"/>
      <c r="R64" s="113"/>
    </row>
    <row r="65" spans="1:18" ht="80.099999999999994" customHeight="1">
      <c r="A65" s="164"/>
      <c r="B65" s="137"/>
      <c r="C65" s="163">
        <f>IF(YEAR(Table133[[#This Row],[IMPLEMENTADO]])="","",YEAR(Table133[[#This Row],[IMPLEMENTADO]]))</f>
        <v>1900</v>
      </c>
      <c r="D65" s="138" t="str">
        <f>IF(Table133[[#This Row],[IMPLEMENTADO]]="","",TEXT(Table133[[#This Row],[IMPLEMENTADO]],"Mmm"))</f>
        <v/>
      </c>
      <c r="E65" s="163">
        <f>DAY(Table133[[#This Row],[IMPLEMENTADO]])</f>
        <v>0</v>
      </c>
      <c r="F65" s="140"/>
      <c r="G65" s="140"/>
      <c r="H65" s="172"/>
      <c r="I65" s="137"/>
      <c r="J65" s="137"/>
      <c r="K65" s="137"/>
      <c r="L65" s="173"/>
      <c r="N65" s="113"/>
      <c r="O65" s="113"/>
      <c r="P65" s="113"/>
      <c r="Q65" s="113"/>
      <c r="R65" s="113"/>
    </row>
    <row r="66" spans="1:18" ht="80.099999999999994" customHeight="1">
      <c r="A66" s="164"/>
      <c r="B66" s="137"/>
      <c r="C66" s="163">
        <f>IF(YEAR(Table133[[#This Row],[IMPLEMENTADO]])="","",YEAR(Table133[[#This Row],[IMPLEMENTADO]]))</f>
        <v>1900</v>
      </c>
      <c r="D66" s="138" t="str">
        <f>IF(Table133[[#This Row],[IMPLEMENTADO]]="","",TEXT(Table133[[#This Row],[IMPLEMENTADO]],"Mmm"))</f>
        <v/>
      </c>
      <c r="E66" s="163">
        <f>DAY(Table133[[#This Row],[IMPLEMENTADO]])</f>
        <v>0</v>
      </c>
      <c r="F66" s="140"/>
      <c r="G66" s="140"/>
      <c r="H66" s="172"/>
      <c r="I66" s="137"/>
      <c r="J66" s="137"/>
      <c r="K66" s="137"/>
      <c r="L66" s="173"/>
      <c r="N66" s="113"/>
      <c r="O66" s="113"/>
      <c r="P66" s="113"/>
      <c r="Q66" s="113"/>
      <c r="R66" s="113"/>
    </row>
    <row r="67" spans="1:18" ht="80.099999999999994" customHeight="1">
      <c r="A67" s="164"/>
      <c r="B67" s="137"/>
      <c r="C67" s="163">
        <f>IF(YEAR(Table133[[#This Row],[IMPLEMENTADO]])="","",YEAR(Table133[[#This Row],[IMPLEMENTADO]]))</f>
        <v>1900</v>
      </c>
      <c r="D67" s="138" t="str">
        <f>IF(Table133[[#This Row],[IMPLEMENTADO]]="","",TEXT(Table133[[#This Row],[IMPLEMENTADO]],"Mmm"))</f>
        <v/>
      </c>
      <c r="E67" s="163">
        <f>DAY(Table133[[#This Row],[IMPLEMENTADO]])</f>
        <v>0</v>
      </c>
      <c r="F67" s="140"/>
      <c r="G67" s="140"/>
      <c r="H67" s="172"/>
      <c r="I67" s="137"/>
      <c r="J67" s="137"/>
      <c r="K67" s="137"/>
      <c r="L67" s="173"/>
      <c r="N67" s="113"/>
      <c r="O67" s="113"/>
      <c r="P67" s="113"/>
      <c r="Q67" s="113"/>
      <c r="R67" s="113"/>
    </row>
    <row r="68" spans="1:18" ht="80.099999999999994" customHeight="1">
      <c r="A68" s="164"/>
      <c r="B68" s="137"/>
      <c r="C68" s="163">
        <f>IF(YEAR(Table133[[#This Row],[IMPLEMENTADO]])="","",YEAR(Table133[[#This Row],[IMPLEMENTADO]]))</f>
        <v>1900</v>
      </c>
      <c r="D68" s="138" t="str">
        <f>IF(Table133[[#This Row],[IMPLEMENTADO]]="","",TEXT(Table133[[#This Row],[IMPLEMENTADO]],"Mmm"))</f>
        <v/>
      </c>
      <c r="E68" s="163">
        <f>DAY(Table133[[#This Row],[IMPLEMENTADO]])</f>
        <v>0</v>
      </c>
      <c r="F68" s="140"/>
      <c r="G68" s="140"/>
      <c r="H68" s="172"/>
      <c r="I68" s="137"/>
      <c r="J68" s="137"/>
      <c r="K68" s="137"/>
      <c r="L68" s="173"/>
      <c r="N68" s="113"/>
      <c r="O68" s="113"/>
      <c r="P68" s="113"/>
      <c r="Q68" s="113"/>
      <c r="R68" s="113"/>
    </row>
    <row r="69" spans="1:18" ht="80.099999999999994" customHeight="1">
      <c r="A69" s="164"/>
      <c r="B69" s="137"/>
      <c r="C69" s="163">
        <f>IF(YEAR(Table133[[#This Row],[IMPLEMENTADO]])="","",YEAR(Table133[[#This Row],[IMPLEMENTADO]]))</f>
        <v>1900</v>
      </c>
      <c r="D69" s="138" t="str">
        <f>IF(Table133[[#This Row],[IMPLEMENTADO]]="","",TEXT(Table133[[#This Row],[IMPLEMENTADO]],"Mmm"))</f>
        <v/>
      </c>
      <c r="E69" s="163">
        <f>DAY(Table133[[#This Row],[IMPLEMENTADO]])</f>
        <v>0</v>
      </c>
      <c r="F69" s="140"/>
      <c r="G69" s="140"/>
      <c r="H69" s="172"/>
      <c r="I69" s="137"/>
      <c r="J69" s="137"/>
      <c r="K69" s="137"/>
      <c r="L69" s="173"/>
      <c r="N69" s="113"/>
      <c r="O69" s="113"/>
      <c r="P69" s="113"/>
      <c r="Q69" s="113"/>
      <c r="R69" s="113"/>
    </row>
    <row r="70" spans="1:18" ht="80.099999999999994" customHeight="1">
      <c r="A70" s="164"/>
      <c r="B70" s="137"/>
      <c r="C70" s="163">
        <f>IF(YEAR(Table133[[#This Row],[IMPLEMENTADO]])="","",YEAR(Table133[[#This Row],[IMPLEMENTADO]]))</f>
        <v>1900</v>
      </c>
      <c r="D70" s="138" t="str">
        <f>IF(Table133[[#This Row],[IMPLEMENTADO]]="","",TEXT(Table133[[#This Row],[IMPLEMENTADO]],"Mmm"))</f>
        <v/>
      </c>
      <c r="E70" s="163">
        <f>DAY(Table133[[#This Row],[IMPLEMENTADO]])</f>
        <v>0</v>
      </c>
      <c r="F70" s="140"/>
      <c r="G70" s="140"/>
      <c r="H70" s="172"/>
      <c r="I70" s="137"/>
      <c r="J70" s="137"/>
      <c r="K70" s="137"/>
      <c r="L70" s="173"/>
      <c r="N70" s="113"/>
      <c r="O70" s="113"/>
      <c r="P70" s="113"/>
      <c r="Q70" s="113"/>
      <c r="R70" s="113"/>
    </row>
    <row r="71" spans="1:18" ht="80.099999999999994" customHeight="1">
      <c r="A71" s="164"/>
      <c r="B71" s="137"/>
      <c r="C71" s="163">
        <f>IF(YEAR(Table133[[#This Row],[IMPLEMENTADO]])="","",YEAR(Table133[[#This Row],[IMPLEMENTADO]]))</f>
        <v>1900</v>
      </c>
      <c r="D71" s="138" t="str">
        <f>IF(Table133[[#This Row],[IMPLEMENTADO]]="","",TEXT(Table133[[#This Row],[IMPLEMENTADO]],"Mmm"))</f>
        <v/>
      </c>
      <c r="E71" s="163">
        <f>DAY(Table133[[#This Row],[IMPLEMENTADO]])</f>
        <v>0</v>
      </c>
      <c r="F71" s="140"/>
      <c r="G71" s="140"/>
      <c r="H71" s="172"/>
      <c r="I71" s="137"/>
      <c r="J71" s="137"/>
      <c r="K71" s="137"/>
      <c r="L71" s="173"/>
      <c r="N71" s="113"/>
      <c r="O71" s="113"/>
      <c r="P71" s="113"/>
      <c r="Q71" s="113"/>
      <c r="R71" s="113"/>
    </row>
    <row r="72" spans="1:18" ht="80.099999999999994" customHeight="1">
      <c r="A72" s="164"/>
      <c r="B72" s="137"/>
      <c r="C72" s="163">
        <f>IF(YEAR(Table133[[#This Row],[IMPLEMENTADO]])="","",YEAR(Table133[[#This Row],[IMPLEMENTADO]]))</f>
        <v>1900</v>
      </c>
      <c r="D72" s="138" t="str">
        <f>IF(Table133[[#This Row],[IMPLEMENTADO]]="","",TEXT(Table133[[#This Row],[IMPLEMENTADO]],"Mmm"))</f>
        <v/>
      </c>
      <c r="E72" s="163">
        <f>DAY(Table133[[#This Row],[IMPLEMENTADO]])</f>
        <v>0</v>
      </c>
      <c r="F72" s="140"/>
      <c r="G72" s="140"/>
      <c r="H72" s="172"/>
      <c r="I72" s="137"/>
      <c r="J72" s="137"/>
      <c r="K72" s="137"/>
      <c r="L72" s="173"/>
      <c r="N72" s="113"/>
      <c r="O72" s="113"/>
      <c r="P72" s="113"/>
      <c r="Q72" s="113"/>
      <c r="R72" s="113"/>
    </row>
    <row r="73" spans="1:18" ht="80.099999999999994" customHeight="1">
      <c r="A73" s="164"/>
      <c r="B73" s="137"/>
      <c r="C73" s="163">
        <f>IF(YEAR(Table133[[#This Row],[IMPLEMENTADO]])="","",YEAR(Table133[[#This Row],[IMPLEMENTADO]]))</f>
        <v>1900</v>
      </c>
      <c r="D73" s="138" t="str">
        <f>IF(Table133[[#This Row],[IMPLEMENTADO]]="","",TEXT(Table133[[#This Row],[IMPLEMENTADO]],"Mmm"))</f>
        <v/>
      </c>
      <c r="E73" s="163">
        <f>DAY(Table133[[#This Row],[IMPLEMENTADO]])</f>
        <v>0</v>
      </c>
      <c r="F73" s="140"/>
      <c r="G73" s="140"/>
      <c r="H73" s="172"/>
      <c r="I73" s="137"/>
      <c r="J73" s="137"/>
      <c r="K73" s="137"/>
      <c r="L73" s="173"/>
      <c r="N73" s="113"/>
      <c r="O73" s="113"/>
      <c r="P73" s="113"/>
      <c r="Q73" s="113"/>
      <c r="R73" s="113"/>
    </row>
    <row r="74" spans="1:18" ht="80.099999999999994" customHeight="1">
      <c r="A74" s="164"/>
      <c r="B74" s="137"/>
      <c r="C74" s="163">
        <f>IF(YEAR(Table133[[#This Row],[IMPLEMENTADO]])="","",YEAR(Table133[[#This Row],[IMPLEMENTADO]]))</f>
        <v>1900</v>
      </c>
      <c r="D74" s="138" t="str">
        <f>IF(Table133[[#This Row],[IMPLEMENTADO]]="","",TEXT(Table133[[#This Row],[IMPLEMENTADO]],"Mmm"))</f>
        <v/>
      </c>
      <c r="E74" s="163">
        <f>DAY(Table133[[#This Row],[IMPLEMENTADO]])</f>
        <v>0</v>
      </c>
      <c r="F74" s="140"/>
      <c r="G74" s="140"/>
      <c r="H74" s="172"/>
      <c r="I74" s="137"/>
      <c r="J74" s="137"/>
      <c r="K74" s="137"/>
      <c r="L74" s="173"/>
      <c r="N74" s="113"/>
      <c r="O74" s="113"/>
      <c r="P74" s="113"/>
      <c r="Q74" s="113"/>
      <c r="R74" s="113"/>
    </row>
    <row r="75" spans="1:18" ht="80.099999999999994" customHeight="1">
      <c r="A75" s="164"/>
      <c r="B75" s="137"/>
      <c r="C75" s="163">
        <f>IF(YEAR(Table133[[#This Row],[IMPLEMENTADO]])="","",YEAR(Table133[[#This Row],[IMPLEMENTADO]]))</f>
        <v>1900</v>
      </c>
      <c r="D75" s="138" t="str">
        <f>IF(Table133[[#This Row],[IMPLEMENTADO]]="","",TEXT(Table133[[#This Row],[IMPLEMENTADO]],"Mmm"))</f>
        <v/>
      </c>
      <c r="E75" s="163">
        <f>DAY(Table133[[#This Row],[IMPLEMENTADO]])</f>
        <v>0</v>
      </c>
      <c r="F75" s="140"/>
      <c r="G75" s="140"/>
      <c r="H75" s="172"/>
      <c r="I75" s="137"/>
      <c r="J75" s="137"/>
      <c r="K75" s="137"/>
      <c r="L75" s="173"/>
      <c r="N75" s="113"/>
      <c r="O75" s="113"/>
      <c r="P75" s="113"/>
      <c r="Q75" s="113"/>
      <c r="R75" s="113"/>
    </row>
    <row r="76" spans="1:18" ht="80.099999999999994" customHeight="1">
      <c r="A76" s="164"/>
      <c r="B76" s="137"/>
      <c r="C76" s="163">
        <f>IF(YEAR(Table133[[#This Row],[IMPLEMENTADO]])="","",YEAR(Table133[[#This Row],[IMPLEMENTADO]]))</f>
        <v>1900</v>
      </c>
      <c r="D76" s="138" t="str">
        <f>IF(Table133[[#This Row],[IMPLEMENTADO]]="","",TEXT(Table133[[#This Row],[IMPLEMENTADO]],"Mmm"))</f>
        <v/>
      </c>
      <c r="E76" s="163">
        <f>DAY(Table133[[#This Row],[IMPLEMENTADO]])</f>
        <v>0</v>
      </c>
      <c r="F76" s="140"/>
      <c r="G76" s="140"/>
      <c r="H76" s="172"/>
      <c r="I76" s="137"/>
      <c r="J76" s="137"/>
      <c r="K76" s="137"/>
      <c r="L76" s="173"/>
      <c r="N76" s="113"/>
      <c r="O76" s="113"/>
      <c r="P76" s="113"/>
      <c r="Q76" s="113"/>
      <c r="R76" s="113"/>
    </row>
    <row r="77" spans="1:18" ht="80.099999999999994" customHeight="1">
      <c r="A77" s="164"/>
      <c r="B77" s="137"/>
      <c r="C77" s="163">
        <f>IF(YEAR(Table133[[#This Row],[IMPLEMENTADO]])="","",YEAR(Table133[[#This Row],[IMPLEMENTADO]]))</f>
        <v>1900</v>
      </c>
      <c r="D77" s="138" t="str">
        <f>IF(Table133[[#This Row],[IMPLEMENTADO]]="","",TEXT(Table133[[#This Row],[IMPLEMENTADO]],"Mmm"))</f>
        <v/>
      </c>
      <c r="E77" s="163">
        <f>DAY(Table133[[#This Row],[IMPLEMENTADO]])</f>
        <v>0</v>
      </c>
      <c r="F77" s="140"/>
      <c r="G77" s="140"/>
      <c r="H77" s="172"/>
      <c r="I77" s="137"/>
      <c r="J77" s="137"/>
      <c r="K77" s="137"/>
      <c r="L77" s="173"/>
      <c r="N77" s="113"/>
      <c r="O77" s="113"/>
      <c r="P77" s="113"/>
      <c r="Q77" s="113"/>
      <c r="R77" s="113"/>
    </row>
    <row r="78" spans="1:18" ht="80.099999999999994" customHeight="1">
      <c r="A78" s="164"/>
      <c r="B78" s="137"/>
      <c r="C78" s="163">
        <f>IF(YEAR(Table133[[#This Row],[IMPLEMENTADO]])="","",YEAR(Table133[[#This Row],[IMPLEMENTADO]]))</f>
        <v>1900</v>
      </c>
      <c r="D78" s="138" t="str">
        <f>IF(Table133[[#This Row],[IMPLEMENTADO]]="","",TEXT(Table133[[#This Row],[IMPLEMENTADO]],"Mmm"))</f>
        <v/>
      </c>
      <c r="E78" s="163">
        <f>DAY(Table133[[#This Row],[IMPLEMENTADO]])</f>
        <v>0</v>
      </c>
      <c r="F78" s="140"/>
      <c r="G78" s="140"/>
      <c r="H78" s="172"/>
      <c r="I78" s="137"/>
      <c r="J78" s="137"/>
      <c r="K78" s="137"/>
      <c r="L78" s="173"/>
      <c r="N78" s="113"/>
      <c r="O78" s="113"/>
      <c r="P78" s="113"/>
      <c r="Q78" s="113"/>
      <c r="R78" s="113"/>
    </row>
    <row r="79" spans="1:18" ht="80.099999999999994" customHeight="1">
      <c r="A79" s="164"/>
      <c r="B79" s="137"/>
      <c r="C79" s="163">
        <f>IF(YEAR(Table133[[#This Row],[IMPLEMENTADO]])="","",YEAR(Table133[[#This Row],[IMPLEMENTADO]]))</f>
        <v>1900</v>
      </c>
      <c r="D79" s="138" t="str">
        <f>IF(Table133[[#This Row],[IMPLEMENTADO]]="","",TEXT(Table133[[#This Row],[IMPLEMENTADO]],"Mmm"))</f>
        <v/>
      </c>
      <c r="E79" s="163">
        <f>DAY(Table133[[#This Row],[IMPLEMENTADO]])</f>
        <v>0</v>
      </c>
      <c r="F79" s="140"/>
      <c r="G79" s="140"/>
      <c r="H79" s="172"/>
      <c r="I79" s="137"/>
      <c r="J79" s="137"/>
      <c r="K79" s="137"/>
      <c r="L79" s="173"/>
      <c r="N79" s="113"/>
      <c r="O79" s="113"/>
      <c r="P79" s="113"/>
      <c r="Q79" s="113"/>
      <c r="R79" s="113"/>
    </row>
    <row r="80" spans="1:18" ht="80.099999999999994" customHeight="1">
      <c r="A80" s="164"/>
      <c r="B80" s="137"/>
      <c r="C80" s="163">
        <f>IF(YEAR(Table133[[#This Row],[IMPLEMENTADO]])="","",YEAR(Table133[[#This Row],[IMPLEMENTADO]]))</f>
        <v>1900</v>
      </c>
      <c r="D80" s="138" t="str">
        <f>IF(Table133[[#This Row],[IMPLEMENTADO]]="","",TEXT(Table133[[#This Row],[IMPLEMENTADO]],"Mmm"))</f>
        <v/>
      </c>
      <c r="E80" s="163">
        <f>DAY(Table133[[#This Row],[IMPLEMENTADO]])</f>
        <v>0</v>
      </c>
      <c r="F80" s="140"/>
      <c r="G80" s="140"/>
      <c r="H80" s="172"/>
      <c r="I80" s="137"/>
      <c r="J80" s="137"/>
      <c r="K80" s="137"/>
      <c r="L80" s="173"/>
      <c r="N80" s="113"/>
      <c r="O80" s="113"/>
      <c r="P80" s="113"/>
      <c r="Q80" s="113"/>
      <c r="R80" s="113"/>
    </row>
    <row r="81" spans="1:18" ht="80.099999999999994" customHeight="1">
      <c r="A81" s="164"/>
      <c r="B81" s="137"/>
      <c r="C81" s="163">
        <f>IF(YEAR(Table133[[#This Row],[IMPLEMENTADO]])="","",YEAR(Table133[[#This Row],[IMPLEMENTADO]]))</f>
        <v>1900</v>
      </c>
      <c r="D81" s="138" t="str">
        <f>IF(Table133[[#This Row],[IMPLEMENTADO]]="","",TEXT(Table133[[#This Row],[IMPLEMENTADO]],"Mmm"))</f>
        <v/>
      </c>
      <c r="E81" s="163">
        <f>DAY(Table133[[#This Row],[IMPLEMENTADO]])</f>
        <v>0</v>
      </c>
      <c r="F81" s="140"/>
      <c r="G81" s="140"/>
      <c r="H81" s="172"/>
      <c r="I81" s="137"/>
      <c r="J81" s="137"/>
      <c r="K81" s="137"/>
      <c r="L81" s="173"/>
      <c r="N81" s="113"/>
      <c r="O81" s="113"/>
      <c r="P81" s="113"/>
      <c r="Q81" s="113"/>
      <c r="R81" s="113"/>
    </row>
    <row r="82" spans="1:18" ht="80.099999999999994" customHeight="1">
      <c r="A82" s="164"/>
      <c r="B82" s="137"/>
      <c r="C82" s="163">
        <f>IF(YEAR(Table133[[#This Row],[IMPLEMENTADO]])="","",YEAR(Table133[[#This Row],[IMPLEMENTADO]]))</f>
        <v>1900</v>
      </c>
      <c r="D82" s="138" t="str">
        <f>IF(Table133[[#This Row],[IMPLEMENTADO]]="","",TEXT(Table133[[#This Row],[IMPLEMENTADO]],"Mmm"))</f>
        <v/>
      </c>
      <c r="E82" s="163">
        <f>DAY(Table133[[#This Row],[IMPLEMENTADO]])</f>
        <v>0</v>
      </c>
      <c r="F82" s="140"/>
      <c r="G82" s="140"/>
      <c r="H82" s="172"/>
      <c r="I82" s="137"/>
      <c r="J82" s="137"/>
      <c r="K82" s="137"/>
      <c r="L82" s="173"/>
      <c r="N82" s="113"/>
      <c r="O82" s="113"/>
      <c r="P82" s="113"/>
      <c r="Q82" s="113"/>
      <c r="R82" s="113"/>
    </row>
    <row r="83" spans="1:18" ht="80.099999999999994" customHeight="1">
      <c r="A83" s="164"/>
      <c r="B83" s="137"/>
      <c r="C83" s="163">
        <f>IF(YEAR(Table133[[#This Row],[IMPLEMENTADO]])="","",YEAR(Table133[[#This Row],[IMPLEMENTADO]]))</f>
        <v>1900</v>
      </c>
      <c r="D83" s="138" t="str">
        <f>IF(Table133[[#This Row],[IMPLEMENTADO]]="","",TEXT(Table133[[#This Row],[IMPLEMENTADO]],"Mmm"))</f>
        <v/>
      </c>
      <c r="E83" s="163">
        <f>DAY(Table133[[#This Row],[IMPLEMENTADO]])</f>
        <v>0</v>
      </c>
      <c r="F83" s="140"/>
      <c r="G83" s="140"/>
      <c r="H83" s="172"/>
      <c r="I83" s="137"/>
      <c r="J83" s="137"/>
      <c r="K83" s="137"/>
      <c r="L83" s="173"/>
      <c r="N83" s="113"/>
      <c r="O83" s="113"/>
      <c r="P83" s="113"/>
      <c r="Q83" s="113"/>
      <c r="R83" s="113"/>
    </row>
    <row r="84" spans="1:18" ht="80.099999999999994" customHeight="1">
      <c r="A84" s="164"/>
      <c r="B84" s="137"/>
      <c r="C84" s="163">
        <f>IF(YEAR(Table133[[#This Row],[IMPLEMENTADO]])="","",YEAR(Table133[[#This Row],[IMPLEMENTADO]]))</f>
        <v>1900</v>
      </c>
      <c r="D84" s="138" t="str">
        <f>IF(Table133[[#This Row],[IMPLEMENTADO]]="","",TEXT(Table133[[#This Row],[IMPLEMENTADO]],"Mmm"))</f>
        <v/>
      </c>
      <c r="E84" s="163">
        <f>DAY(Table133[[#This Row],[IMPLEMENTADO]])</f>
        <v>0</v>
      </c>
      <c r="F84" s="140"/>
      <c r="G84" s="140"/>
      <c r="H84" s="172"/>
      <c r="I84" s="137"/>
      <c r="J84" s="137"/>
      <c r="K84" s="137"/>
      <c r="L84" s="173"/>
      <c r="N84" s="113"/>
      <c r="O84" s="113"/>
      <c r="P84" s="113"/>
      <c r="Q84" s="113"/>
      <c r="R84" s="113"/>
    </row>
    <row r="85" spans="1:18" ht="80.099999999999994" customHeight="1">
      <c r="A85" s="164"/>
      <c r="B85" s="137"/>
      <c r="C85" s="163">
        <f>IF(YEAR(Table133[[#This Row],[IMPLEMENTADO]])="","",YEAR(Table133[[#This Row],[IMPLEMENTADO]]))</f>
        <v>1900</v>
      </c>
      <c r="D85" s="138" t="str">
        <f>IF(Table133[[#This Row],[IMPLEMENTADO]]="","",TEXT(Table133[[#This Row],[IMPLEMENTADO]],"Mmm"))</f>
        <v/>
      </c>
      <c r="E85" s="163">
        <f>DAY(Table133[[#This Row],[IMPLEMENTADO]])</f>
        <v>0</v>
      </c>
      <c r="F85" s="140"/>
      <c r="G85" s="140"/>
      <c r="H85" s="172"/>
      <c r="I85" s="137"/>
      <c r="J85" s="137"/>
      <c r="K85" s="137"/>
      <c r="L85" s="173"/>
      <c r="N85" s="113"/>
      <c r="O85" s="113"/>
      <c r="P85" s="113"/>
      <c r="Q85" s="113"/>
      <c r="R85" s="113"/>
    </row>
    <row r="86" spans="1:18" ht="80.099999999999994" customHeight="1">
      <c r="A86" s="164"/>
      <c r="B86" s="137"/>
      <c r="C86" s="163">
        <f>IF(YEAR(Table133[[#This Row],[IMPLEMENTADO]])="","",YEAR(Table133[[#This Row],[IMPLEMENTADO]]))</f>
        <v>1900</v>
      </c>
      <c r="D86" s="138" t="str">
        <f>IF(Table133[[#This Row],[IMPLEMENTADO]]="","",TEXT(Table133[[#This Row],[IMPLEMENTADO]],"Mmm"))</f>
        <v/>
      </c>
      <c r="E86" s="163">
        <f>DAY(Table133[[#This Row],[IMPLEMENTADO]])</f>
        <v>0</v>
      </c>
      <c r="F86" s="140"/>
      <c r="G86" s="140"/>
      <c r="H86" s="172"/>
      <c r="I86" s="137"/>
      <c r="J86" s="137"/>
      <c r="K86" s="137"/>
      <c r="L86" s="173"/>
      <c r="N86" s="113"/>
      <c r="O86" s="113"/>
      <c r="P86" s="113"/>
      <c r="Q86" s="113"/>
      <c r="R86" s="113"/>
    </row>
    <row r="87" spans="1:18" ht="80.099999999999994" customHeight="1">
      <c r="A87" s="164"/>
      <c r="B87" s="137"/>
      <c r="C87" s="163">
        <f>IF(YEAR(Table133[[#This Row],[IMPLEMENTADO]])="","",YEAR(Table133[[#This Row],[IMPLEMENTADO]]))</f>
        <v>1900</v>
      </c>
      <c r="D87" s="138" t="str">
        <f>IF(Table133[[#This Row],[IMPLEMENTADO]]="","",TEXT(Table133[[#This Row],[IMPLEMENTADO]],"Mmm"))</f>
        <v/>
      </c>
      <c r="E87" s="163">
        <f>DAY(Table133[[#This Row],[IMPLEMENTADO]])</f>
        <v>0</v>
      </c>
      <c r="F87" s="140"/>
      <c r="G87" s="140"/>
      <c r="H87" s="172"/>
      <c r="I87" s="137"/>
      <c r="J87" s="137"/>
      <c r="K87" s="137"/>
      <c r="L87" s="173"/>
      <c r="N87" s="113"/>
      <c r="O87" s="113"/>
      <c r="P87" s="113"/>
      <c r="Q87" s="113"/>
      <c r="R87" s="113"/>
    </row>
    <row r="88" spans="1:18" ht="80.099999999999994" customHeight="1">
      <c r="A88" s="164"/>
      <c r="B88" s="137"/>
      <c r="C88" s="163">
        <f>IF(YEAR(Table133[[#This Row],[IMPLEMENTADO]])="","",YEAR(Table133[[#This Row],[IMPLEMENTADO]]))</f>
        <v>1900</v>
      </c>
      <c r="D88" s="138" t="str">
        <f>IF(Table133[[#This Row],[IMPLEMENTADO]]="","",TEXT(Table133[[#This Row],[IMPLEMENTADO]],"Mmm"))</f>
        <v/>
      </c>
      <c r="E88" s="163">
        <f>DAY(Table133[[#This Row],[IMPLEMENTADO]])</f>
        <v>0</v>
      </c>
      <c r="F88" s="140"/>
      <c r="G88" s="140"/>
      <c r="H88" s="172"/>
      <c r="I88" s="137"/>
      <c r="J88" s="137"/>
      <c r="K88" s="137"/>
      <c r="L88" s="173"/>
      <c r="N88" s="113"/>
      <c r="O88" s="113"/>
      <c r="P88" s="113"/>
      <c r="Q88" s="113"/>
      <c r="R88" s="113"/>
    </row>
    <row r="89" spans="1:18" ht="80.099999999999994" customHeight="1">
      <c r="A89" s="164"/>
      <c r="B89" s="137"/>
      <c r="C89" s="163">
        <f>IF(YEAR(Table133[[#This Row],[IMPLEMENTADO]])="","",YEAR(Table133[[#This Row],[IMPLEMENTADO]]))</f>
        <v>1900</v>
      </c>
      <c r="D89" s="138" t="str">
        <f>IF(Table133[[#This Row],[IMPLEMENTADO]]="","",TEXT(Table133[[#This Row],[IMPLEMENTADO]],"Mmm"))</f>
        <v/>
      </c>
      <c r="E89" s="163">
        <f>DAY(Table133[[#This Row],[IMPLEMENTADO]])</f>
        <v>0</v>
      </c>
      <c r="F89" s="140"/>
      <c r="G89" s="140"/>
      <c r="H89" s="172"/>
      <c r="I89" s="137"/>
      <c r="J89" s="137"/>
      <c r="K89" s="137"/>
      <c r="L89" s="173"/>
      <c r="N89" s="113"/>
      <c r="O89" s="113"/>
      <c r="P89" s="113"/>
      <c r="Q89" s="113"/>
      <c r="R89" s="113"/>
    </row>
    <row r="90" spans="1:18" ht="80.099999999999994" customHeight="1">
      <c r="A90" s="164"/>
      <c r="B90" s="137"/>
      <c r="C90" s="163">
        <f>IF(YEAR(Table133[[#This Row],[IMPLEMENTADO]])="","",YEAR(Table133[[#This Row],[IMPLEMENTADO]]))</f>
        <v>1900</v>
      </c>
      <c r="D90" s="138" t="str">
        <f>IF(Table133[[#This Row],[IMPLEMENTADO]]="","",TEXT(Table133[[#This Row],[IMPLEMENTADO]],"Mmm"))</f>
        <v/>
      </c>
      <c r="E90" s="163">
        <f>DAY(Table133[[#This Row],[IMPLEMENTADO]])</f>
        <v>0</v>
      </c>
      <c r="F90" s="140"/>
      <c r="G90" s="140"/>
      <c r="H90" s="172"/>
      <c r="I90" s="137"/>
      <c r="J90" s="137"/>
      <c r="K90" s="137"/>
      <c r="L90" s="173"/>
      <c r="N90" s="113"/>
      <c r="O90" s="113"/>
      <c r="P90" s="113"/>
      <c r="Q90" s="113"/>
      <c r="R90" s="113"/>
    </row>
    <row r="91" spans="1:18" ht="80.099999999999994" customHeight="1">
      <c r="A91" s="164"/>
      <c r="B91" s="137"/>
      <c r="C91" s="163">
        <f>IF(YEAR(Table133[[#This Row],[IMPLEMENTADO]])="","",YEAR(Table133[[#This Row],[IMPLEMENTADO]]))</f>
        <v>1900</v>
      </c>
      <c r="D91" s="138" t="str">
        <f>IF(Table133[[#This Row],[IMPLEMENTADO]]="","",TEXT(Table133[[#This Row],[IMPLEMENTADO]],"Mmm"))</f>
        <v/>
      </c>
      <c r="E91" s="163">
        <f>DAY(Table133[[#This Row],[IMPLEMENTADO]])</f>
        <v>0</v>
      </c>
      <c r="F91" s="140"/>
      <c r="G91" s="140"/>
      <c r="H91" s="172"/>
      <c r="I91" s="137"/>
      <c r="J91" s="137"/>
      <c r="K91" s="137"/>
      <c r="L91" s="173"/>
      <c r="N91" s="113"/>
      <c r="O91" s="113"/>
      <c r="P91" s="113"/>
      <c r="Q91" s="113"/>
      <c r="R91" s="113"/>
    </row>
    <row r="92" spans="1:18" ht="80.099999999999994" customHeight="1">
      <c r="A92" s="164"/>
      <c r="B92" s="137"/>
      <c r="C92" s="163">
        <f>IF(YEAR(Table133[[#This Row],[IMPLEMENTADO]])="","",YEAR(Table133[[#This Row],[IMPLEMENTADO]]))</f>
        <v>1900</v>
      </c>
      <c r="D92" s="138" t="str">
        <f>IF(Table133[[#This Row],[IMPLEMENTADO]]="","",TEXT(Table133[[#This Row],[IMPLEMENTADO]],"Mmm"))</f>
        <v/>
      </c>
      <c r="E92" s="163">
        <f>DAY(Table133[[#This Row],[IMPLEMENTADO]])</f>
        <v>0</v>
      </c>
      <c r="F92" s="140"/>
      <c r="G92" s="140"/>
      <c r="H92" s="172"/>
      <c r="I92" s="137"/>
      <c r="J92" s="137"/>
      <c r="K92" s="137"/>
      <c r="L92" s="173"/>
      <c r="N92" s="113"/>
      <c r="O92" s="113"/>
      <c r="P92" s="113"/>
      <c r="Q92" s="113"/>
      <c r="R92" s="113"/>
    </row>
    <row r="93" spans="1:18" ht="80.099999999999994" customHeight="1">
      <c r="A93" s="164"/>
      <c r="B93" s="137"/>
      <c r="C93" s="163">
        <f>IF(YEAR(Table133[[#This Row],[IMPLEMENTADO]])="","",YEAR(Table133[[#This Row],[IMPLEMENTADO]]))</f>
        <v>1900</v>
      </c>
      <c r="D93" s="138" t="str">
        <f>IF(Table133[[#This Row],[IMPLEMENTADO]]="","",TEXT(Table133[[#This Row],[IMPLEMENTADO]],"Mmm"))</f>
        <v/>
      </c>
      <c r="E93" s="163">
        <f>DAY(Table133[[#This Row],[IMPLEMENTADO]])</f>
        <v>0</v>
      </c>
      <c r="F93" s="140"/>
      <c r="G93" s="140"/>
      <c r="H93" s="172"/>
      <c r="I93" s="137"/>
      <c r="J93" s="137"/>
      <c r="K93" s="137"/>
      <c r="L93" s="173"/>
      <c r="N93" s="113"/>
      <c r="O93" s="113"/>
      <c r="P93" s="113"/>
      <c r="Q93" s="113"/>
      <c r="R93" s="113"/>
    </row>
    <row r="94" spans="1:18" ht="80.099999999999994" customHeight="1">
      <c r="A94" s="164"/>
      <c r="B94" s="137"/>
      <c r="C94" s="163">
        <f>IF(YEAR(Table133[[#This Row],[IMPLEMENTADO]])="","",YEAR(Table133[[#This Row],[IMPLEMENTADO]]))</f>
        <v>1900</v>
      </c>
      <c r="D94" s="138" t="str">
        <f>IF(Table133[[#This Row],[IMPLEMENTADO]]="","",TEXT(Table133[[#This Row],[IMPLEMENTADO]],"Mmm"))</f>
        <v/>
      </c>
      <c r="E94" s="163">
        <f>DAY(Table133[[#This Row],[IMPLEMENTADO]])</f>
        <v>0</v>
      </c>
      <c r="F94" s="140"/>
      <c r="G94" s="140"/>
      <c r="H94" s="172"/>
      <c r="I94" s="137"/>
      <c r="J94" s="137"/>
      <c r="K94" s="137"/>
      <c r="L94" s="173"/>
      <c r="N94" s="113"/>
      <c r="O94" s="113"/>
      <c r="P94" s="113"/>
      <c r="Q94" s="113"/>
      <c r="R94" s="113"/>
    </row>
    <row r="95" spans="1:18" ht="80.099999999999994" customHeight="1">
      <c r="A95" s="164"/>
      <c r="B95" s="137"/>
      <c r="C95" s="163">
        <f>IF(YEAR(Table133[[#This Row],[IMPLEMENTADO]])="","",YEAR(Table133[[#This Row],[IMPLEMENTADO]]))</f>
        <v>1900</v>
      </c>
      <c r="D95" s="138" t="str">
        <f>IF(Table133[[#This Row],[IMPLEMENTADO]]="","",TEXT(Table133[[#This Row],[IMPLEMENTADO]],"Mmm"))</f>
        <v/>
      </c>
      <c r="E95" s="163">
        <f>DAY(Table133[[#This Row],[IMPLEMENTADO]])</f>
        <v>0</v>
      </c>
      <c r="F95" s="140"/>
      <c r="G95" s="140"/>
      <c r="H95" s="172"/>
      <c r="I95" s="137"/>
      <c r="J95" s="137"/>
      <c r="K95" s="137"/>
      <c r="L95" s="173"/>
      <c r="N95" s="113"/>
      <c r="O95" s="113"/>
      <c r="P95" s="113"/>
      <c r="Q95" s="113"/>
      <c r="R95" s="113"/>
    </row>
    <row r="96" spans="1:18" ht="80.099999999999994" customHeight="1">
      <c r="A96" s="164"/>
      <c r="B96" s="137"/>
      <c r="C96" s="163">
        <f>IF(YEAR(Table133[[#This Row],[IMPLEMENTADO]])="","",YEAR(Table133[[#This Row],[IMPLEMENTADO]]))</f>
        <v>1900</v>
      </c>
      <c r="D96" s="138" t="str">
        <f>IF(Table133[[#This Row],[IMPLEMENTADO]]="","",TEXT(Table133[[#This Row],[IMPLEMENTADO]],"Mmm"))</f>
        <v/>
      </c>
      <c r="E96" s="163">
        <f>DAY(Table133[[#This Row],[IMPLEMENTADO]])</f>
        <v>0</v>
      </c>
      <c r="F96" s="140"/>
      <c r="G96" s="140"/>
      <c r="H96" s="172"/>
      <c r="I96" s="137"/>
      <c r="J96" s="137"/>
      <c r="K96" s="137"/>
      <c r="L96" s="173"/>
      <c r="N96" s="113"/>
      <c r="O96" s="113"/>
      <c r="P96" s="113"/>
      <c r="Q96" s="113"/>
      <c r="R96" s="113"/>
    </row>
    <row r="97" spans="1:18" ht="80.099999999999994" customHeight="1">
      <c r="A97" s="164"/>
      <c r="B97" s="137"/>
      <c r="C97" s="163">
        <f>IF(YEAR(Table133[[#This Row],[IMPLEMENTADO]])="","",YEAR(Table133[[#This Row],[IMPLEMENTADO]]))</f>
        <v>1900</v>
      </c>
      <c r="D97" s="138" t="str">
        <f>IF(Table133[[#This Row],[IMPLEMENTADO]]="","",TEXT(Table133[[#This Row],[IMPLEMENTADO]],"Mmm"))</f>
        <v/>
      </c>
      <c r="E97" s="163">
        <f>DAY(Table133[[#This Row],[IMPLEMENTADO]])</f>
        <v>0</v>
      </c>
      <c r="F97" s="140"/>
      <c r="G97" s="140"/>
      <c r="H97" s="172"/>
      <c r="I97" s="137"/>
      <c r="J97" s="137"/>
      <c r="K97" s="137"/>
      <c r="L97" s="173"/>
      <c r="N97" s="113"/>
      <c r="O97" s="113"/>
      <c r="P97" s="113"/>
      <c r="Q97" s="113"/>
      <c r="R97" s="113"/>
    </row>
    <row r="98" spans="1:18" ht="80.099999999999994" customHeight="1">
      <c r="A98" s="164"/>
      <c r="B98" s="137"/>
      <c r="C98" s="163">
        <f>IF(YEAR(Table133[[#This Row],[IMPLEMENTADO]])="","",YEAR(Table133[[#This Row],[IMPLEMENTADO]]))</f>
        <v>1900</v>
      </c>
      <c r="D98" s="138" t="str">
        <f>IF(Table133[[#This Row],[IMPLEMENTADO]]="","",TEXT(Table133[[#This Row],[IMPLEMENTADO]],"Mmm"))</f>
        <v/>
      </c>
      <c r="E98" s="163">
        <f>DAY(Table133[[#This Row],[IMPLEMENTADO]])</f>
        <v>0</v>
      </c>
      <c r="F98" s="140"/>
      <c r="G98" s="140"/>
      <c r="H98" s="172"/>
      <c r="I98" s="137"/>
      <c r="J98" s="137"/>
      <c r="K98" s="137"/>
      <c r="L98" s="173"/>
      <c r="N98" s="113"/>
      <c r="O98" s="113"/>
      <c r="P98" s="113"/>
      <c r="Q98" s="113"/>
      <c r="R98" s="113"/>
    </row>
    <row r="99" spans="1:18" ht="80.099999999999994" customHeight="1">
      <c r="A99" s="164"/>
      <c r="B99" s="137"/>
      <c r="C99" s="163">
        <f>IF(YEAR(Table133[[#This Row],[IMPLEMENTADO]])="","",YEAR(Table133[[#This Row],[IMPLEMENTADO]]))</f>
        <v>1900</v>
      </c>
      <c r="D99" s="138" t="str">
        <f>IF(Table133[[#This Row],[IMPLEMENTADO]]="","",TEXT(Table133[[#This Row],[IMPLEMENTADO]],"Mmm"))</f>
        <v/>
      </c>
      <c r="E99" s="163">
        <f>DAY(Table133[[#This Row],[IMPLEMENTADO]])</f>
        <v>0</v>
      </c>
      <c r="F99" s="140"/>
      <c r="G99" s="140"/>
      <c r="H99" s="172"/>
      <c r="I99" s="137"/>
      <c r="J99" s="137"/>
      <c r="K99" s="137"/>
      <c r="L99" s="173"/>
      <c r="N99" s="113"/>
      <c r="O99" s="113"/>
      <c r="P99" s="113"/>
      <c r="Q99" s="113"/>
      <c r="R99" s="113"/>
    </row>
    <row r="100" spans="1:18" ht="80.099999999999994" customHeight="1">
      <c r="A100" s="164"/>
      <c r="B100" s="137"/>
      <c r="C100" s="163">
        <f>IF(YEAR(Table133[[#This Row],[IMPLEMENTADO]])="","",YEAR(Table133[[#This Row],[IMPLEMENTADO]]))</f>
        <v>1900</v>
      </c>
      <c r="D100" s="138" t="str">
        <f>IF(Table133[[#This Row],[IMPLEMENTADO]]="","",TEXT(Table133[[#This Row],[IMPLEMENTADO]],"Mmm"))</f>
        <v/>
      </c>
      <c r="E100" s="163">
        <f>DAY(Table133[[#This Row],[IMPLEMENTADO]])</f>
        <v>0</v>
      </c>
      <c r="F100" s="140"/>
      <c r="G100" s="140"/>
      <c r="H100" s="172"/>
      <c r="I100" s="137"/>
      <c r="J100" s="137"/>
      <c r="K100" s="137"/>
      <c r="L100" s="173"/>
      <c r="N100" s="113"/>
      <c r="O100" s="113"/>
      <c r="P100" s="113"/>
      <c r="Q100" s="113"/>
      <c r="R100" s="113"/>
    </row>
    <row r="101" spans="1:18" ht="80.099999999999994" customHeight="1">
      <c r="A101" s="164"/>
      <c r="B101" s="137"/>
      <c r="C101" s="163">
        <f>IF(YEAR(Table133[[#This Row],[IMPLEMENTADO]])="","",YEAR(Table133[[#This Row],[IMPLEMENTADO]]))</f>
        <v>1900</v>
      </c>
      <c r="D101" s="138" t="str">
        <f>IF(Table133[[#This Row],[IMPLEMENTADO]]="","",TEXT(Table133[[#This Row],[IMPLEMENTADO]],"Mmm"))</f>
        <v/>
      </c>
      <c r="E101" s="163">
        <f>DAY(Table133[[#This Row],[IMPLEMENTADO]])</f>
        <v>0</v>
      </c>
      <c r="F101" s="140"/>
      <c r="G101" s="140"/>
      <c r="H101" s="172"/>
      <c r="I101" s="137"/>
      <c r="J101" s="137"/>
      <c r="K101" s="137"/>
      <c r="L101" s="173"/>
      <c r="N101" s="113"/>
      <c r="O101" s="113"/>
      <c r="P101" s="113"/>
      <c r="Q101" s="113"/>
      <c r="R101" s="113"/>
    </row>
    <row r="102" spans="1:18" ht="80.099999999999994" customHeight="1">
      <c r="A102" s="164"/>
      <c r="B102" s="137"/>
      <c r="C102" s="163">
        <f>IF(YEAR(Table133[[#This Row],[IMPLEMENTADO]])="","",YEAR(Table133[[#This Row],[IMPLEMENTADO]]))</f>
        <v>1900</v>
      </c>
      <c r="D102" s="138" t="str">
        <f>IF(Table133[[#This Row],[IMPLEMENTADO]]="","",TEXT(Table133[[#This Row],[IMPLEMENTADO]],"Mmm"))</f>
        <v/>
      </c>
      <c r="E102" s="163">
        <f>DAY(Table133[[#This Row],[IMPLEMENTADO]])</f>
        <v>0</v>
      </c>
      <c r="F102" s="140"/>
      <c r="G102" s="140"/>
      <c r="H102" s="172"/>
      <c r="I102" s="137"/>
      <c r="J102" s="137"/>
      <c r="K102" s="137"/>
      <c r="L102" s="173"/>
      <c r="N102" s="113"/>
      <c r="O102" s="113"/>
      <c r="P102" s="113"/>
      <c r="Q102" s="113"/>
      <c r="R102" s="113"/>
    </row>
    <row r="103" spans="1:18" ht="80.099999999999994" customHeight="1">
      <c r="A103" s="164"/>
      <c r="B103" s="137"/>
      <c r="C103" s="163">
        <f>IF(YEAR(Table133[[#This Row],[IMPLEMENTADO]])="","",YEAR(Table133[[#This Row],[IMPLEMENTADO]]))</f>
        <v>1900</v>
      </c>
      <c r="D103" s="138" t="str">
        <f>IF(Table133[[#This Row],[IMPLEMENTADO]]="","",TEXT(Table133[[#This Row],[IMPLEMENTADO]],"Mmm"))</f>
        <v/>
      </c>
      <c r="E103" s="163">
        <f>DAY(Table133[[#This Row],[IMPLEMENTADO]])</f>
        <v>0</v>
      </c>
      <c r="F103" s="140"/>
      <c r="G103" s="140"/>
      <c r="H103" s="172"/>
      <c r="I103" s="137"/>
      <c r="J103" s="137"/>
      <c r="K103" s="137"/>
      <c r="L103" s="173"/>
      <c r="N103" s="113"/>
      <c r="O103" s="113"/>
      <c r="P103" s="113"/>
      <c r="Q103" s="113"/>
      <c r="R103" s="113"/>
    </row>
    <row r="104" spans="1:18" ht="80.099999999999994" customHeight="1">
      <c r="A104" s="164"/>
      <c r="B104" s="137"/>
      <c r="C104" s="163">
        <f>IF(YEAR(Table133[[#This Row],[IMPLEMENTADO]])="","",YEAR(Table133[[#This Row],[IMPLEMENTADO]]))</f>
        <v>1900</v>
      </c>
      <c r="D104" s="138" t="str">
        <f>IF(Table133[[#This Row],[IMPLEMENTADO]]="","",TEXT(Table133[[#This Row],[IMPLEMENTADO]],"Mmm"))</f>
        <v/>
      </c>
      <c r="E104" s="163">
        <f>DAY(Table133[[#This Row],[IMPLEMENTADO]])</f>
        <v>0</v>
      </c>
      <c r="F104" s="140"/>
      <c r="G104" s="140"/>
      <c r="H104" s="172"/>
      <c r="I104" s="137"/>
      <c r="J104" s="137"/>
      <c r="K104" s="137"/>
      <c r="L104" s="173"/>
      <c r="N104" s="113"/>
      <c r="O104" s="113"/>
      <c r="P104" s="113"/>
      <c r="Q104" s="113"/>
      <c r="R104" s="113"/>
    </row>
    <row r="105" spans="1:18" ht="80.099999999999994" customHeight="1">
      <c r="A105" s="164"/>
      <c r="B105" s="137"/>
      <c r="C105" s="163">
        <f>IF(YEAR(Table133[[#This Row],[IMPLEMENTADO]])="","",YEAR(Table133[[#This Row],[IMPLEMENTADO]]))</f>
        <v>1900</v>
      </c>
      <c r="D105" s="138" t="str">
        <f>IF(Table133[[#This Row],[IMPLEMENTADO]]="","",TEXT(Table133[[#This Row],[IMPLEMENTADO]],"Mmm"))</f>
        <v/>
      </c>
      <c r="E105" s="163">
        <f>DAY(Table133[[#This Row],[IMPLEMENTADO]])</f>
        <v>0</v>
      </c>
      <c r="F105" s="140"/>
      <c r="G105" s="140"/>
      <c r="H105" s="172"/>
      <c r="I105" s="137"/>
      <c r="J105" s="137"/>
      <c r="K105" s="137"/>
      <c r="L105" s="173"/>
      <c r="N105" s="113"/>
      <c r="O105" s="113"/>
      <c r="P105" s="113"/>
      <c r="Q105" s="113"/>
      <c r="R105" s="113"/>
    </row>
    <row r="106" spans="1:18" ht="80.099999999999994" customHeight="1">
      <c r="A106" s="164"/>
      <c r="B106" s="137"/>
      <c r="C106" s="163">
        <f>IF(YEAR(Table133[[#This Row],[IMPLEMENTADO]])="","",YEAR(Table133[[#This Row],[IMPLEMENTADO]]))</f>
        <v>1900</v>
      </c>
      <c r="D106" s="138" t="str">
        <f>IF(Table133[[#This Row],[IMPLEMENTADO]]="","",TEXT(Table133[[#This Row],[IMPLEMENTADO]],"Mmm"))</f>
        <v/>
      </c>
      <c r="E106" s="163">
        <f>DAY(Table133[[#This Row],[IMPLEMENTADO]])</f>
        <v>0</v>
      </c>
      <c r="F106" s="140"/>
      <c r="G106" s="140"/>
      <c r="H106" s="172"/>
      <c r="I106" s="137"/>
      <c r="J106" s="137"/>
      <c r="K106" s="137"/>
      <c r="L106" s="173"/>
      <c r="N106" s="113"/>
      <c r="O106" s="113"/>
      <c r="P106" s="113"/>
      <c r="Q106" s="113"/>
      <c r="R106" s="113"/>
    </row>
    <row r="107" spans="1:18" ht="80.099999999999994" customHeight="1">
      <c r="A107" s="164"/>
      <c r="B107" s="137"/>
      <c r="C107" s="163">
        <f>IF(YEAR(Table133[[#This Row],[IMPLEMENTADO]])="","",YEAR(Table133[[#This Row],[IMPLEMENTADO]]))</f>
        <v>1900</v>
      </c>
      <c r="D107" s="138" t="str">
        <f>IF(Table133[[#This Row],[IMPLEMENTADO]]="","",TEXT(Table133[[#This Row],[IMPLEMENTADO]],"Mmm"))</f>
        <v/>
      </c>
      <c r="E107" s="163">
        <f>DAY(Table133[[#This Row],[IMPLEMENTADO]])</f>
        <v>0</v>
      </c>
      <c r="F107" s="140"/>
      <c r="G107" s="140"/>
      <c r="H107" s="172"/>
      <c r="I107" s="137"/>
      <c r="J107" s="137"/>
      <c r="K107" s="137"/>
      <c r="L107" s="173"/>
      <c r="N107" s="113"/>
      <c r="O107" s="113"/>
      <c r="P107" s="113"/>
      <c r="Q107" s="113"/>
      <c r="R107" s="113"/>
    </row>
    <row r="108" spans="1:18" ht="80.099999999999994" customHeight="1">
      <c r="A108" s="164"/>
      <c r="B108" s="137"/>
      <c r="C108" s="163">
        <f>IF(YEAR(Table133[[#This Row],[IMPLEMENTADO]])="","",YEAR(Table133[[#This Row],[IMPLEMENTADO]]))</f>
        <v>1900</v>
      </c>
      <c r="D108" s="138" t="str">
        <f>IF(Table133[[#This Row],[IMPLEMENTADO]]="","",TEXT(Table133[[#This Row],[IMPLEMENTADO]],"Mmm"))</f>
        <v/>
      </c>
      <c r="E108" s="163">
        <f>DAY(Table133[[#This Row],[IMPLEMENTADO]])</f>
        <v>0</v>
      </c>
      <c r="F108" s="140"/>
      <c r="G108" s="140"/>
      <c r="H108" s="172"/>
      <c r="I108" s="137"/>
      <c r="J108" s="137"/>
      <c r="K108" s="137"/>
      <c r="L108" s="173"/>
      <c r="N108" s="113"/>
      <c r="O108" s="113"/>
      <c r="P108" s="113"/>
      <c r="Q108" s="113"/>
      <c r="R108" s="113"/>
    </row>
    <row r="109" spans="1:18" ht="80.099999999999994" customHeight="1">
      <c r="A109" s="164"/>
      <c r="B109" s="137"/>
      <c r="C109" s="163">
        <f>IF(YEAR(Table133[[#This Row],[IMPLEMENTADO]])="","",YEAR(Table133[[#This Row],[IMPLEMENTADO]]))</f>
        <v>1900</v>
      </c>
      <c r="D109" s="138" t="str">
        <f>IF(Table133[[#This Row],[IMPLEMENTADO]]="","",TEXT(Table133[[#This Row],[IMPLEMENTADO]],"Mmm"))</f>
        <v/>
      </c>
      <c r="E109" s="163">
        <f>DAY(Table133[[#This Row],[IMPLEMENTADO]])</f>
        <v>0</v>
      </c>
      <c r="F109" s="140"/>
      <c r="G109" s="140"/>
      <c r="H109" s="172"/>
      <c r="I109" s="137"/>
      <c r="J109" s="137"/>
      <c r="K109" s="137"/>
      <c r="L109" s="173"/>
      <c r="N109" s="113"/>
      <c r="O109" s="113"/>
      <c r="P109" s="113"/>
      <c r="Q109" s="113"/>
      <c r="R109" s="113"/>
    </row>
    <row r="110" spans="1:18" ht="80.099999999999994" customHeight="1">
      <c r="A110" s="164"/>
      <c r="B110" s="137"/>
      <c r="C110" s="163">
        <f>IF(YEAR(Table133[[#This Row],[IMPLEMENTADO]])="","",YEAR(Table133[[#This Row],[IMPLEMENTADO]]))</f>
        <v>1900</v>
      </c>
      <c r="D110" s="138" t="str">
        <f>IF(Table133[[#This Row],[IMPLEMENTADO]]="","",TEXT(Table133[[#This Row],[IMPLEMENTADO]],"Mmm"))</f>
        <v/>
      </c>
      <c r="E110" s="163">
        <f>DAY(Table133[[#This Row],[IMPLEMENTADO]])</f>
        <v>0</v>
      </c>
      <c r="F110" s="140"/>
      <c r="G110" s="140"/>
      <c r="H110" s="172"/>
      <c r="I110" s="137"/>
      <c r="J110" s="137"/>
      <c r="K110" s="137"/>
      <c r="L110" s="173"/>
      <c r="N110" s="113"/>
      <c r="O110" s="113"/>
      <c r="P110" s="113"/>
      <c r="Q110" s="113"/>
      <c r="R110" s="113"/>
    </row>
  </sheetData>
  <conditionalFormatting sqref="L3:L110">
    <cfRule type="cellIs" dxfId="19" priority="1" operator="equal">
      <formula>"IMPLEMENTADA"</formula>
    </cfRule>
    <cfRule type="cellIs" dxfId="18" priority="2" operator="equal">
      <formula>"EN PROCESO"</formula>
    </cfRule>
    <cfRule type="cellIs" dxfId="17" priority="3" operator="equal">
      <formula>"NO INICIADO"</formula>
    </cfRule>
  </conditionalFormatting>
  <dataValidations disablePrompts="1" count="2">
    <dataValidation type="list" allowBlank="1" showInputMessage="1" showErrorMessage="1" sqref="L3:L110" xr:uid="{8332EDEA-4DF8-42A6-BB05-FF9DC2C53C24}">
      <formula1>"NO INICIADO,EN PROCESO,IMPLEMENTADA"</formula1>
    </dataValidation>
    <dataValidation type="list" allowBlank="1" showInputMessage="1" showErrorMessage="1" sqref="L58:L110" xr:uid="{21F4CEC6-848B-48CB-ABF1-25DB9302EF81}">
      <formula1>"NO REVISADO, DEMORADO, EN PROCESO, CUMPLIDO"</formula1>
    </dataValidation>
  </dataValidations>
  <pageMargins left="0.70866141732283472" right="0.70866141732283472" top="0.74803149606299213" bottom="0.74803149606299213" header="0.31496062992125984" footer="0.31496062992125984"/>
  <pageSetup scale="35" orientation="landscape" verticalDpi="598" r:id="rId1"/>
  <drawing r:id="rId2"/>
  <tableParts count="1">
    <tablePart r:id="rId3"/>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7C68812-0A2C-407C-B815-2445B3A10448}">
          <x14:formula1>
            <xm:f>FUENTE!$A$1:$A$366</xm:f>
          </x14:formula1>
          <xm:sqref>H3 H5:H9 H15:H16 H25:H110 B3:B110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5D108-D364-4AA1-878B-2247963B2D6E}">
  <sheetPr>
    <tabColor rgb="FF75FFB3"/>
  </sheetPr>
  <dimension ref="K28:P28"/>
  <sheetViews>
    <sheetView workbookViewId="0">
      <selection activeCell="L41" sqref="L41"/>
    </sheetView>
  </sheetViews>
  <sheetFormatPr baseColWidth="10" defaultColWidth="11" defaultRowHeight="14.25"/>
  <cols>
    <col min="12" max="12" width="29.875" customWidth="1"/>
    <col min="15" max="15" width="17" customWidth="1"/>
    <col min="16" max="16" width="14.125" customWidth="1"/>
  </cols>
  <sheetData>
    <row r="28" spans="11:16">
      <c r="K28" t="s">
        <v>285</v>
      </c>
      <c r="L28" t="s">
        <v>286</v>
      </c>
      <c r="M28" t="s">
        <v>287</v>
      </c>
      <c r="O28" t="s">
        <v>288</v>
      </c>
      <c r="P28" t="s">
        <v>289</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5167EE-DD89-4980-9896-A118E5910E67}">
  <sheetPr codeName="Hoja3">
    <tabColor rgb="FF75FFB3"/>
    <pageSetUpPr fitToPage="1"/>
  </sheetPr>
  <dimension ref="A1:XFC105"/>
  <sheetViews>
    <sheetView showGridLines="0" zoomScale="85" zoomScaleNormal="85" zoomScaleSheetLayoutView="80" workbookViewId="0">
      <selection activeCell="F44" sqref="F44"/>
    </sheetView>
  </sheetViews>
  <sheetFormatPr baseColWidth="10" defaultColWidth="0" defaultRowHeight="14.25" zeroHeight="1"/>
  <cols>
    <col min="1" max="1" width="11" customWidth="1"/>
    <col min="2" max="14" width="15.625" customWidth="1"/>
    <col min="15" max="15" width="11.625" customWidth="1"/>
    <col min="16" max="17" width="11" hidden="1" customWidth="1"/>
    <col min="18" max="21" width="11" hidden="1"/>
    <col min="16382" max="16383" width="4.375" hidden="1" customWidth="1"/>
    <col min="16384" max="16384" width="4.875" hidden="1"/>
  </cols>
  <sheetData>
    <row r="1" spans="1:21">
      <c r="A1" s="193"/>
      <c r="B1" s="193"/>
      <c r="C1" s="193"/>
      <c r="D1" s="193"/>
      <c r="E1" s="193"/>
      <c r="F1" s="193"/>
      <c r="G1" s="193"/>
      <c r="H1" s="193"/>
      <c r="I1" s="193"/>
      <c r="J1" s="193"/>
      <c r="K1" s="193"/>
      <c r="L1" s="193"/>
      <c r="M1" s="193"/>
      <c r="N1" s="193"/>
      <c r="O1" s="193"/>
    </row>
    <row r="2" spans="1:21" ht="50.1" customHeight="1">
      <c r="A2" s="193"/>
      <c r="B2" s="193"/>
      <c r="C2" s="193"/>
      <c r="D2" s="193"/>
      <c r="E2" s="193"/>
      <c r="F2" s="193"/>
      <c r="G2" s="193"/>
      <c r="H2" s="193"/>
      <c r="I2" s="193"/>
      <c r="J2" s="193"/>
      <c r="K2" s="193"/>
      <c r="L2" s="193"/>
      <c r="M2" s="193"/>
      <c r="N2" s="193"/>
      <c r="O2" s="193"/>
    </row>
    <row r="3" spans="1:21">
      <c r="A3" s="193"/>
      <c r="B3" s="193"/>
      <c r="C3" s="193"/>
      <c r="D3" s="193"/>
      <c r="E3" s="193"/>
      <c r="F3" s="193"/>
      <c r="G3" s="193"/>
      <c r="H3" s="193"/>
      <c r="I3" s="193"/>
      <c r="J3" s="193"/>
      <c r="K3" s="193"/>
      <c r="L3" s="193"/>
      <c r="M3" s="193"/>
      <c r="N3" s="193"/>
      <c r="O3" s="193"/>
      <c r="P3" s="102"/>
      <c r="Q3" s="102"/>
      <c r="R3" s="102"/>
    </row>
    <row r="4" spans="1:21">
      <c r="A4" s="193"/>
      <c r="B4" s="193"/>
      <c r="C4" s="193"/>
      <c r="D4" s="193"/>
      <c r="E4" s="193"/>
      <c r="F4" s="193"/>
      <c r="G4" s="193"/>
      <c r="H4" s="193"/>
      <c r="I4" s="193"/>
      <c r="J4" s="193"/>
      <c r="K4" s="193"/>
      <c r="L4" s="193"/>
      <c r="M4" s="193"/>
      <c r="N4" s="193"/>
      <c r="O4" s="193"/>
      <c r="P4" s="102"/>
      <c r="Q4" s="102"/>
      <c r="R4" s="102"/>
    </row>
    <row r="5" spans="1:21">
      <c r="A5" s="193"/>
      <c r="B5" s="193"/>
      <c r="C5" s="193"/>
      <c r="D5" s="193"/>
      <c r="E5" s="193"/>
      <c r="F5" s="193"/>
      <c r="G5" s="193"/>
      <c r="H5" s="193"/>
      <c r="I5" s="193"/>
      <c r="J5" s="193"/>
      <c r="K5" s="193"/>
      <c r="L5" s="193"/>
      <c r="M5" s="193"/>
      <c r="N5" s="193"/>
      <c r="O5" s="193"/>
      <c r="P5" s="102">
        <v>1</v>
      </c>
      <c r="Q5" s="102" t="str">
        <f>IFERROR(VLOOKUP(P5,#REF!,2,0),"")</f>
        <v/>
      </c>
      <c r="R5" s="102" t="str">
        <f>IFERROR(VLOOKUP(P5,#REF!,3,0),"")</f>
        <v/>
      </c>
      <c r="S5" s="102" t="str">
        <f>IFERROR(VLOOKUP(Q5,#REF!,4,0),"0")</f>
        <v>0</v>
      </c>
      <c r="T5" s="102" t="str">
        <f>IFERROR(VLOOKUP(P5,#REF!,5,0),"")</f>
        <v/>
      </c>
      <c r="U5" s="103" t="str">
        <f>IFERROR(Q5/SUM(Q5:S5),"0,00%")</f>
        <v>0,00%</v>
      </c>
    </row>
    <row r="6" spans="1:21">
      <c r="A6" s="193"/>
      <c r="B6" s="193"/>
      <c r="C6" s="193"/>
      <c r="D6" s="193"/>
      <c r="E6" s="193"/>
      <c r="F6" s="193"/>
      <c r="G6" s="193"/>
      <c r="H6" s="193"/>
      <c r="I6" s="193"/>
      <c r="J6" s="193"/>
      <c r="K6" s="193"/>
      <c r="L6" s="193"/>
      <c r="M6" s="193"/>
      <c r="N6" s="193"/>
      <c r="O6" s="193"/>
      <c r="P6" s="102"/>
      <c r="Q6" s="102"/>
      <c r="R6" s="102"/>
    </row>
    <row r="7" spans="1:21">
      <c r="A7" s="193"/>
      <c r="B7" s="193"/>
      <c r="C7" s="193"/>
      <c r="D7" s="193"/>
      <c r="E7" s="193"/>
      <c r="F7" s="193"/>
      <c r="G7" s="193"/>
      <c r="H7" s="193"/>
      <c r="I7" s="193"/>
      <c r="J7" s="193"/>
      <c r="K7" s="193"/>
      <c r="L7" s="193"/>
      <c r="M7" s="193"/>
      <c r="N7" s="193"/>
      <c r="O7" s="193"/>
      <c r="P7" s="102"/>
      <c r="Q7" s="102"/>
      <c r="R7" s="102"/>
    </row>
    <row r="8" spans="1:21">
      <c r="A8" s="193"/>
      <c r="B8" s="193"/>
      <c r="C8" s="193"/>
      <c r="D8" s="193"/>
      <c r="E8" s="193"/>
      <c r="F8" s="193"/>
      <c r="G8" s="193"/>
      <c r="H8" s="193"/>
      <c r="I8" s="193"/>
      <c r="J8" s="193"/>
      <c r="K8" s="193"/>
      <c r="L8" s="193"/>
      <c r="M8" s="193"/>
      <c r="N8" s="193"/>
      <c r="O8" s="193"/>
      <c r="P8" s="102"/>
      <c r="Q8" s="102"/>
      <c r="R8" s="102"/>
    </row>
    <row r="9" spans="1:21">
      <c r="A9" s="193"/>
      <c r="B9" s="193"/>
      <c r="C9" s="193"/>
      <c r="D9" s="193"/>
      <c r="E9" s="193"/>
      <c r="F9" s="193"/>
      <c r="G9" s="193"/>
      <c r="H9" s="193"/>
      <c r="I9" s="193"/>
      <c r="J9" s="193"/>
      <c r="K9" s="193"/>
      <c r="L9" s="193"/>
      <c r="M9" s="193"/>
      <c r="N9" s="193"/>
      <c r="O9" s="193"/>
      <c r="P9" s="102"/>
      <c r="Q9" s="102"/>
      <c r="R9" s="102"/>
    </row>
    <row r="10" spans="1:21">
      <c r="A10" s="193"/>
      <c r="B10" s="193"/>
      <c r="C10" s="193"/>
      <c r="D10" s="193"/>
      <c r="E10" s="193"/>
      <c r="F10" s="193"/>
      <c r="G10" s="193"/>
      <c r="H10" s="193"/>
      <c r="I10" s="193"/>
      <c r="J10" s="193"/>
      <c r="K10" s="193"/>
      <c r="L10" s="193"/>
      <c r="M10" s="193"/>
      <c r="N10" s="193"/>
      <c r="O10" s="193"/>
      <c r="P10" s="102"/>
      <c r="Q10" s="102"/>
      <c r="R10" s="102"/>
    </row>
    <row r="11" spans="1:21">
      <c r="A11" s="193"/>
      <c r="B11" s="193"/>
      <c r="C11" s="193"/>
      <c r="D11" s="193"/>
      <c r="E11" s="193"/>
      <c r="F11" s="193"/>
      <c r="G11" s="193"/>
      <c r="H11" s="193"/>
      <c r="I11" s="193"/>
      <c r="J11" s="193"/>
      <c r="K11" s="193"/>
      <c r="L11" s="193"/>
      <c r="M11" s="193"/>
      <c r="N11" s="193"/>
      <c r="O11" s="193"/>
      <c r="P11" s="102"/>
      <c r="Q11" s="102"/>
      <c r="R11" s="102"/>
    </row>
    <row r="12" spans="1:21">
      <c r="A12" s="193"/>
      <c r="B12" s="193"/>
      <c r="C12" s="193"/>
      <c r="D12" s="193"/>
      <c r="E12" s="193"/>
      <c r="F12" s="193"/>
      <c r="G12" s="193"/>
      <c r="H12" s="193"/>
      <c r="I12" s="193"/>
      <c r="J12" s="193"/>
      <c r="K12" s="193"/>
      <c r="L12" s="193"/>
      <c r="M12" s="193"/>
      <c r="N12" s="193"/>
      <c r="O12" s="193"/>
      <c r="P12" s="102"/>
      <c r="Q12" s="102"/>
      <c r="R12" s="102"/>
    </row>
    <row r="13" spans="1:21">
      <c r="A13" s="193"/>
      <c r="B13" s="193"/>
      <c r="C13" s="193"/>
      <c r="D13" s="193"/>
      <c r="E13" s="193"/>
      <c r="F13" s="193"/>
      <c r="G13" s="193"/>
      <c r="H13" s="193"/>
      <c r="I13" s="193"/>
      <c r="J13" s="193"/>
      <c r="K13" s="193"/>
      <c r="L13" s="193"/>
      <c r="M13" s="193"/>
      <c r="N13" s="193"/>
      <c r="O13" s="193"/>
      <c r="P13" s="102"/>
      <c r="Q13" s="102"/>
      <c r="R13" s="102"/>
    </row>
    <row r="14" spans="1:21">
      <c r="A14" s="193"/>
      <c r="B14" s="193"/>
      <c r="C14" s="193"/>
      <c r="D14" s="193"/>
      <c r="E14" s="193"/>
      <c r="F14" s="193"/>
      <c r="G14" s="193"/>
      <c r="H14" s="193"/>
      <c r="I14" s="193"/>
      <c r="J14" s="193"/>
      <c r="K14" s="193"/>
      <c r="L14" s="193"/>
      <c r="M14" s="193"/>
      <c r="N14" s="193"/>
      <c r="O14" s="193"/>
      <c r="P14" s="102"/>
      <c r="Q14" s="102"/>
      <c r="R14" s="102"/>
    </row>
    <row r="15" spans="1:21">
      <c r="A15" s="193"/>
      <c r="B15" s="193"/>
      <c r="C15" s="193"/>
      <c r="D15" s="193"/>
      <c r="E15" s="193"/>
      <c r="F15" s="193"/>
      <c r="G15" s="193"/>
      <c r="H15" s="193"/>
      <c r="I15" s="193"/>
      <c r="J15" s="193"/>
      <c r="K15" s="193"/>
      <c r="L15" s="193"/>
      <c r="M15" s="193"/>
      <c r="N15" s="193"/>
      <c r="O15" s="193"/>
      <c r="P15" s="102"/>
      <c r="Q15" s="102"/>
      <c r="R15" s="102"/>
    </row>
    <row r="16" spans="1:21">
      <c r="A16" s="193"/>
      <c r="B16" s="193"/>
      <c r="C16" s="193"/>
      <c r="D16" s="193"/>
      <c r="E16" s="193"/>
      <c r="F16" s="193"/>
      <c r="G16" s="193"/>
      <c r="H16" s="193"/>
      <c r="I16" s="193"/>
      <c r="J16" s="193"/>
      <c r="K16" s="193"/>
      <c r="L16" s="193"/>
      <c r="M16" s="193"/>
      <c r="N16" s="193"/>
      <c r="O16" s="193"/>
      <c r="P16" s="102"/>
      <c r="Q16" s="102"/>
      <c r="R16" s="102"/>
    </row>
    <row r="17" spans="1:18">
      <c r="A17" s="193"/>
      <c r="B17" s="193"/>
      <c r="C17" s="193"/>
      <c r="D17" s="193"/>
      <c r="E17" s="193"/>
      <c r="F17" s="193"/>
      <c r="G17" s="193"/>
      <c r="H17" s="193"/>
      <c r="I17" s="193"/>
      <c r="J17" s="193"/>
      <c r="K17" s="193"/>
      <c r="L17" s="193"/>
      <c r="M17" s="193"/>
      <c r="N17" s="193"/>
      <c r="O17" s="193"/>
      <c r="P17" s="102"/>
      <c r="Q17" s="102"/>
      <c r="R17" s="102"/>
    </row>
    <row r="18" spans="1:18">
      <c r="A18" s="193"/>
      <c r="B18" s="193"/>
      <c r="C18" s="193"/>
      <c r="D18" s="193"/>
      <c r="E18" s="193"/>
      <c r="F18" s="193"/>
      <c r="G18" s="193"/>
      <c r="H18" s="193"/>
      <c r="I18" s="193"/>
      <c r="J18" s="193"/>
      <c r="K18" s="193"/>
      <c r="L18" s="193"/>
      <c r="M18" s="193"/>
      <c r="N18" s="193"/>
      <c r="O18" s="193"/>
      <c r="P18" s="102"/>
      <c r="Q18" s="102"/>
      <c r="R18" s="102"/>
    </row>
    <row r="19" spans="1:18">
      <c r="A19" s="193"/>
      <c r="B19" s="193"/>
      <c r="C19" s="193"/>
      <c r="D19" s="193"/>
      <c r="E19" s="193"/>
      <c r="F19" s="193"/>
      <c r="G19" s="193"/>
      <c r="H19" s="193"/>
      <c r="I19" s="193"/>
      <c r="J19" s="193"/>
      <c r="K19" s="193"/>
      <c r="L19" s="193"/>
      <c r="M19" s="193"/>
      <c r="N19" s="193"/>
      <c r="O19" s="193"/>
      <c r="P19" s="102"/>
      <c r="Q19" s="102"/>
      <c r="R19" s="102"/>
    </row>
    <row r="20" spans="1:18">
      <c r="A20" s="193"/>
      <c r="B20" s="193"/>
      <c r="C20" s="193"/>
      <c r="D20" s="193"/>
      <c r="E20" s="193"/>
      <c r="F20" s="193"/>
      <c r="G20" s="193"/>
      <c r="H20" s="193"/>
      <c r="I20" s="193"/>
      <c r="J20" s="193"/>
      <c r="K20" s="193"/>
      <c r="L20" s="193"/>
      <c r="M20" s="193"/>
      <c r="N20" s="193"/>
      <c r="O20" s="193"/>
      <c r="P20" s="102"/>
      <c r="Q20" s="102"/>
      <c r="R20" s="102"/>
    </row>
    <row r="21" spans="1:18">
      <c r="A21" s="193"/>
      <c r="B21" s="193"/>
      <c r="C21" s="193"/>
      <c r="D21" s="193"/>
      <c r="E21" s="193"/>
      <c r="F21" s="193"/>
      <c r="G21" s="193"/>
      <c r="H21" s="193"/>
      <c r="I21" s="193"/>
      <c r="J21" s="193"/>
      <c r="K21" s="193"/>
      <c r="L21" s="193"/>
      <c r="M21" s="193"/>
      <c r="N21" s="193"/>
      <c r="O21" s="193"/>
      <c r="P21" s="102"/>
      <c r="Q21" s="102"/>
      <c r="R21" s="102"/>
    </row>
    <row r="22" spans="1:18">
      <c r="A22" s="193"/>
      <c r="B22" s="193"/>
      <c r="C22" s="193"/>
      <c r="D22" s="193"/>
      <c r="E22" s="193"/>
      <c r="F22" s="193"/>
      <c r="G22" s="193"/>
      <c r="H22" s="193"/>
      <c r="I22" s="193"/>
      <c r="J22" s="193"/>
      <c r="K22" s="193"/>
      <c r="L22" s="193"/>
      <c r="M22" s="193"/>
      <c r="N22" s="193"/>
      <c r="O22" s="193"/>
      <c r="P22" s="102"/>
      <c r="Q22" s="102"/>
      <c r="R22" s="102"/>
    </row>
    <row r="23" spans="1:18">
      <c r="A23" s="193"/>
      <c r="B23" s="193"/>
      <c r="C23" s="193"/>
      <c r="D23" s="193"/>
      <c r="E23" s="193"/>
      <c r="F23" s="193"/>
      <c r="G23" s="193"/>
      <c r="H23" s="193"/>
      <c r="I23" s="193"/>
      <c r="J23" s="193"/>
      <c r="K23" s="193"/>
      <c r="L23" s="193"/>
      <c r="M23" s="193"/>
      <c r="N23" s="193"/>
      <c r="O23" s="193"/>
      <c r="P23" s="102"/>
      <c r="Q23" s="102"/>
      <c r="R23" s="102"/>
    </row>
    <row r="24" spans="1:18">
      <c r="A24" s="193"/>
      <c r="B24" s="193"/>
      <c r="C24" s="193"/>
      <c r="D24" s="193"/>
      <c r="E24" s="193"/>
      <c r="F24" s="193"/>
      <c r="G24" s="193"/>
      <c r="H24" s="193"/>
      <c r="I24" s="193"/>
      <c r="J24" s="193"/>
      <c r="K24" s="193"/>
      <c r="L24" s="193"/>
      <c r="M24" s="193"/>
      <c r="N24" s="193"/>
      <c r="O24" s="193"/>
    </row>
    <row r="25" spans="1:18">
      <c r="A25" s="193"/>
      <c r="B25" s="193"/>
      <c r="C25" s="193"/>
      <c r="D25" s="193"/>
      <c r="E25" s="193"/>
      <c r="F25" s="193"/>
      <c r="G25" s="193"/>
      <c r="H25" s="193"/>
      <c r="I25" s="193"/>
      <c r="J25" s="193"/>
      <c r="K25" s="193"/>
      <c r="L25" s="193"/>
      <c r="M25" s="193"/>
      <c r="N25" s="193"/>
      <c r="O25" s="193"/>
    </row>
    <row r="26" spans="1:18">
      <c r="A26" s="193"/>
      <c r="B26" s="193"/>
      <c r="C26" s="193"/>
      <c r="D26" s="193"/>
      <c r="E26" s="193"/>
      <c r="F26" s="193"/>
      <c r="G26" s="193"/>
      <c r="H26" s="193"/>
      <c r="I26" s="193"/>
      <c r="J26" s="193"/>
      <c r="K26" s="193"/>
      <c r="L26" s="193"/>
      <c r="M26" s="193"/>
      <c r="N26" s="193"/>
      <c r="O26" s="193"/>
    </row>
    <row r="27" spans="1:18">
      <c r="A27" s="193"/>
      <c r="B27" s="193"/>
      <c r="C27" s="193"/>
      <c r="D27" s="193"/>
      <c r="E27" s="193"/>
      <c r="F27" s="193"/>
      <c r="G27" s="193"/>
      <c r="H27" s="193"/>
      <c r="I27" s="193"/>
      <c r="J27" s="193"/>
      <c r="K27" s="193"/>
      <c r="L27" s="193"/>
      <c r="M27" s="193"/>
      <c r="N27" s="193"/>
      <c r="O27" s="193"/>
    </row>
    <row r="28" spans="1:18">
      <c r="A28" s="193"/>
      <c r="B28" s="193"/>
      <c r="C28" s="193"/>
      <c r="D28" s="193"/>
      <c r="E28" s="193"/>
      <c r="F28" s="193"/>
      <c r="G28" s="193"/>
      <c r="H28" s="193"/>
      <c r="I28" s="193"/>
      <c r="J28" s="193"/>
      <c r="K28" s="193"/>
      <c r="L28" s="193"/>
      <c r="M28" s="193"/>
      <c r="N28" s="193"/>
      <c r="O28" s="193"/>
    </row>
    <row r="29" spans="1:18">
      <c r="A29" s="193"/>
      <c r="B29" s="193"/>
      <c r="C29" s="193"/>
      <c r="D29" s="193"/>
      <c r="E29" s="193"/>
      <c r="F29" s="193"/>
      <c r="G29" s="193"/>
      <c r="H29" s="193"/>
      <c r="I29" s="193"/>
      <c r="J29" s="193"/>
      <c r="K29" s="193"/>
      <c r="L29" s="193"/>
      <c r="M29" s="193"/>
      <c r="N29" s="193"/>
      <c r="O29" s="193"/>
    </row>
    <row r="30" spans="1:18">
      <c r="A30" s="193"/>
      <c r="B30" s="193"/>
      <c r="C30" s="193"/>
      <c r="D30" s="193"/>
      <c r="E30" s="193"/>
      <c r="F30" s="193"/>
      <c r="G30" s="193"/>
      <c r="H30" s="193"/>
      <c r="I30" s="193"/>
      <c r="J30" s="193"/>
      <c r="K30" s="193"/>
      <c r="L30" s="193"/>
      <c r="M30" s="193"/>
      <c r="N30" s="193"/>
      <c r="O30" s="193"/>
    </row>
    <row r="31" spans="1:18">
      <c r="A31" s="193"/>
      <c r="B31" s="193"/>
      <c r="C31" s="193"/>
      <c r="D31" s="193"/>
      <c r="E31" s="193"/>
      <c r="F31" s="193"/>
      <c r="G31" s="193"/>
      <c r="H31" s="193"/>
      <c r="I31" s="193"/>
      <c r="J31" s="193"/>
      <c r="K31" s="193"/>
      <c r="L31" s="193"/>
      <c r="M31" s="193"/>
      <c r="N31" s="193"/>
      <c r="O31" s="193"/>
    </row>
    <row r="32" spans="1:18">
      <c r="A32" s="193"/>
      <c r="B32" s="193"/>
      <c r="C32" s="193"/>
      <c r="D32" s="193"/>
      <c r="E32" s="193"/>
      <c r="F32" s="193"/>
      <c r="G32" s="193"/>
      <c r="H32" s="193"/>
      <c r="I32" s="193"/>
      <c r="J32" s="193"/>
      <c r="K32" s="193"/>
      <c r="L32" s="193"/>
      <c r="M32" s="193"/>
      <c r="N32" s="193"/>
      <c r="O32" s="193"/>
    </row>
    <row r="33" spans="1:15">
      <c r="A33" s="193"/>
      <c r="B33" s="193"/>
      <c r="C33" s="193"/>
      <c r="D33" s="193"/>
      <c r="E33" s="193"/>
      <c r="F33" s="193"/>
      <c r="G33" s="193"/>
      <c r="H33" s="193"/>
      <c r="I33" s="193"/>
      <c r="J33" s="193"/>
      <c r="K33" s="193"/>
      <c r="L33" s="193"/>
      <c r="M33" s="193"/>
      <c r="N33" s="193"/>
      <c r="O33" s="193"/>
    </row>
    <row r="34" spans="1:15">
      <c r="A34" s="193"/>
      <c r="B34" s="193"/>
      <c r="C34" s="193"/>
      <c r="D34" s="193"/>
      <c r="E34" s="193"/>
      <c r="F34" s="193"/>
      <c r="G34" s="193"/>
      <c r="H34" s="193"/>
      <c r="I34" s="193"/>
      <c r="J34" s="193"/>
      <c r="K34" s="193"/>
      <c r="L34" s="193"/>
      <c r="M34" s="193"/>
      <c r="N34" s="193"/>
      <c r="O34" s="193"/>
    </row>
    <row r="35" spans="1:15">
      <c r="A35" s="193"/>
      <c r="B35" s="193"/>
      <c r="C35" s="193"/>
      <c r="D35" s="193"/>
      <c r="E35" s="193"/>
      <c r="F35" s="193"/>
      <c r="G35" s="193"/>
      <c r="H35" s="193"/>
      <c r="I35" s="193"/>
      <c r="J35" s="193"/>
      <c r="K35" s="193"/>
      <c r="L35" s="193"/>
      <c r="M35" s="193"/>
      <c r="N35" s="193"/>
      <c r="O35" s="193"/>
    </row>
    <row r="36" spans="1:15">
      <c r="A36" s="193"/>
      <c r="B36" s="193"/>
      <c r="C36" s="193"/>
      <c r="D36" s="193"/>
      <c r="E36" s="193"/>
      <c r="F36" s="193"/>
      <c r="G36" s="193"/>
      <c r="H36" s="193"/>
      <c r="I36" s="193"/>
      <c r="J36" s="193"/>
      <c r="K36" s="193"/>
      <c r="L36" s="193"/>
      <c r="M36" s="193"/>
      <c r="N36" s="193"/>
      <c r="O36" s="193"/>
    </row>
    <row r="37" spans="1:15">
      <c r="A37" s="193"/>
      <c r="B37" s="193"/>
      <c r="C37" s="193"/>
      <c r="D37" s="193"/>
      <c r="E37" s="193"/>
      <c r="F37" s="193"/>
      <c r="G37" s="193"/>
      <c r="H37" s="193"/>
      <c r="I37" s="193"/>
      <c r="J37" s="193"/>
      <c r="K37" s="193"/>
      <c r="L37" s="193"/>
      <c r="M37" s="193"/>
      <c r="N37" s="193"/>
      <c r="O37" s="193"/>
    </row>
    <row r="38" spans="1:15">
      <c r="A38" s="193"/>
      <c r="B38" s="193"/>
      <c r="C38" s="193"/>
      <c r="D38" s="193"/>
      <c r="E38" s="193"/>
      <c r="F38" s="193"/>
      <c r="G38" s="193"/>
      <c r="H38" s="193"/>
      <c r="I38" s="193"/>
      <c r="J38" s="193"/>
      <c r="K38" s="193"/>
      <c r="L38" s="193"/>
      <c r="M38" s="193"/>
      <c r="N38" s="193"/>
      <c r="O38" s="193"/>
    </row>
    <row r="39" spans="1:15">
      <c r="A39" s="193"/>
      <c r="B39" s="193"/>
      <c r="C39" s="193"/>
      <c r="D39" s="193"/>
      <c r="E39" s="193"/>
      <c r="F39" s="193"/>
      <c r="G39" s="193"/>
      <c r="H39" s="193"/>
      <c r="I39" s="193"/>
      <c r="J39" s="193"/>
      <c r="K39" s="193"/>
      <c r="L39" s="193"/>
      <c r="M39" s="193"/>
      <c r="N39" s="193"/>
      <c r="O39" s="193"/>
    </row>
    <row r="40" spans="1:15">
      <c r="A40" s="193"/>
      <c r="B40" s="193"/>
      <c r="C40" s="193"/>
      <c r="D40" s="193"/>
      <c r="E40" s="193"/>
      <c r="F40" s="193"/>
      <c r="G40" s="193"/>
      <c r="H40" s="193"/>
      <c r="I40" s="193"/>
      <c r="J40" s="193"/>
      <c r="K40" s="193"/>
      <c r="L40" s="193"/>
      <c r="M40" s="193"/>
      <c r="N40" s="193"/>
      <c r="O40" s="193"/>
    </row>
    <row r="41" spans="1:15">
      <c r="A41" s="193"/>
      <c r="B41" s="193"/>
      <c r="C41" s="193"/>
      <c r="D41" s="193"/>
      <c r="E41" s="193"/>
      <c r="F41" s="193"/>
      <c r="G41" s="193"/>
      <c r="H41" s="193"/>
      <c r="I41" s="193"/>
      <c r="J41" s="193"/>
      <c r="K41" s="193"/>
      <c r="L41" s="193"/>
      <c r="M41" s="193"/>
      <c r="N41" s="193"/>
      <c r="O41" s="193"/>
    </row>
    <row r="42" spans="1:15">
      <c r="A42" s="193"/>
      <c r="B42" s="193"/>
      <c r="C42" s="193"/>
      <c r="D42" s="193"/>
      <c r="E42" s="193"/>
      <c r="F42" s="193"/>
      <c r="G42" s="193"/>
      <c r="H42" s="193"/>
      <c r="I42" s="193"/>
      <c r="J42" s="193"/>
      <c r="K42" s="193"/>
      <c r="L42" s="193"/>
      <c r="M42" s="193"/>
      <c r="N42" s="193"/>
      <c r="O42" s="193"/>
    </row>
    <row r="43" spans="1:15">
      <c r="A43" s="193"/>
      <c r="B43" s="193"/>
      <c r="C43" s="193"/>
      <c r="D43" s="193"/>
      <c r="E43" s="193"/>
      <c r="F43" s="193"/>
      <c r="G43" s="193"/>
      <c r="H43" s="193"/>
      <c r="I43" s="193"/>
      <c r="J43" s="193"/>
      <c r="K43" s="193"/>
      <c r="L43" s="193"/>
      <c r="M43" s="193"/>
      <c r="N43" s="193"/>
      <c r="O43" s="193"/>
    </row>
    <row r="44" spans="1:15">
      <c r="A44" s="193"/>
      <c r="B44" s="193"/>
      <c r="C44" s="193"/>
      <c r="D44" s="193"/>
      <c r="E44" s="193"/>
      <c r="F44" s="193"/>
      <c r="G44" s="193"/>
      <c r="H44" s="193"/>
      <c r="I44" s="193"/>
      <c r="J44" s="193"/>
      <c r="K44" s="193"/>
      <c r="L44" s="193"/>
      <c r="M44" s="193"/>
      <c r="N44" s="193"/>
      <c r="O44" s="193"/>
    </row>
    <row r="45" spans="1:15">
      <c r="A45" s="193"/>
      <c r="B45" s="193"/>
      <c r="C45" s="193"/>
      <c r="D45" s="193"/>
      <c r="E45" s="193"/>
      <c r="F45" s="193"/>
      <c r="G45" s="193"/>
      <c r="H45" s="193"/>
      <c r="I45" s="193"/>
      <c r="J45" s="193"/>
      <c r="K45" s="193"/>
      <c r="L45" s="193"/>
      <c r="M45" s="193"/>
      <c r="N45" s="193"/>
      <c r="O45" s="193"/>
    </row>
    <row r="46" spans="1:15">
      <c r="A46" s="193"/>
      <c r="B46" s="193"/>
      <c r="C46" s="193"/>
      <c r="D46" s="193"/>
      <c r="E46" s="193"/>
      <c r="F46" s="193"/>
      <c r="G46" s="193"/>
      <c r="H46" s="193"/>
      <c r="I46" s="193"/>
      <c r="J46" s="193"/>
      <c r="K46" s="193"/>
      <c r="L46" s="193"/>
      <c r="M46" s="193"/>
      <c r="N46" s="193"/>
      <c r="O46" s="193"/>
    </row>
    <row r="47" spans="1:15">
      <c r="A47" s="193"/>
      <c r="B47" s="193"/>
      <c r="C47" s="193"/>
      <c r="D47" s="193"/>
      <c r="E47" s="193"/>
      <c r="F47" s="193"/>
      <c r="G47" s="193"/>
      <c r="H47" s="193"/>
      <c r="I47" s="193"/>
      <c r="J47" s="193"/>
      <c r="K47" s="193"/>
      <c r="L47" s="193"/>
      <c r="M47" s="193"/>
      <c r="N47" s="193"/>
      <c r="O47" s="193"/>
    </row>
    <row r="48" spans="1:15">
      <c r="A48" s="193"/>
      <c r="B48" s="193"/>
      <c r="C48" s="193"/>
      <c r="D48" s="193"/>
      <c r="E48" s="193"/>
      <c r="F48" s="193"/>
      <c r="G48" s="193"/>
      <c r="H48" s="193"/>
      <c r="I48" s="193"/>
      <c r="J48" s="193"/>
      <c r="K48" s="193"/>
      <c r="L48" s="193"/>
      <c r="M48" s="193"/>
      <c r="N48" s="193"/>
      <c r="O48" s="193"/>
    </row>
    <row r="49" spans="1:15">
      <c r="A49" s="193"/>
      <c r="B49" s="193"/>
      <c r="C49" s="193"/>
      <c r="D49" s="193"/>
      <c r="E49" s="193"/>
      <c r="F49" s="193"/>
      <c r="G49" s="193"/>
      <c r="H49" s="193"/>
      <c r="I49" s="193"/>
      <c r="J49" s="193"/>
      <c r="K49" s="193"/>
      <c r="L49" s="193"/>
      <c r="M49" s="193"/>
      <c r="N49" s="193"/>
      <c r="O49" s="193"/>
    </row>
    <row r="50" spans="1:15">
      <c r="A50" s="193"/>
      <c r="B50" s="193"/>
      <c r="C50" s="193"/>
      <c r="D50" s="193"/>
      <c r="E50" s="193"/>
      <c r="F50" s="193"/>
      <c r="G50" s="193"/>
      <c r="H50" s="193"/>
      <c r="I50" s="193"/>
      <c r="J50" s="193"/>
      <c r="K50" s="193"/>
      <c r="L50" s="193"/>
      <c r="M50" s="193"/>
      <c r="N50" s="193"/>
      <c r="O50" s="193"/>
    </row>
    <row r="51" spans="1:15" hidden="1">
      <c r="A51" s="193"/>
      <c r="B51" s="193"/>
      <c r="C51" s="193"/>
      <c r="D51" s="193"/>
      <c r="E51" s="193"/>
      <c r="F51" s="193"/>
      <c r="G51" s="193"/>
      <c r="H51" s="193"/>
      <c r="I51" s="193"/>
      <c r="J51" s="193"/>
      <c r="K51" s="193"/>
      <c r="L51" s="193"/>
      <c r="M51" s="193"/>
      <c r="N51" s="193"/>
      <c r="O51" s="193"/>
    </row>
    <row r="52" spans="1:15" hidden="1">
      <c r="A52" s="193"/>
      <c r="B52" s="193"/>
      <c r="C52" s="193"/>
      <c r="D52" s="193"/>
      <c r="E52" s="193"/>
      <c r="F52" s="193"/>
      <c r="G52" s="193"/>
      <c r="H52" s="193"/>
      <c r="I52" s="193"/>
      <c r="J52" s="193"/>
      <c r="K52" s="193"/>
      <c r="L52" s="193"/>
      <c r="M52" s="193"/>
      <c r="N52" s="193"/>
      <c r="O52" s="193"/>
    </row>
    <row r="53" spans="1:15" hidden="1">
      <c r="A53" s="193"/>
      <c r="B53" s="193"/>
      <c r="C53" s="193"/>
      <c r="D53" s="193"/>
      <c r="E53" s="193"/>
      <c r="F53" s="193"/>
      <c r="G53" s="193"/>
      <c r="H53" s="193"/>
      <c r="I53" s="193"/>
      <c r="J53" s="193"/>
      <c r="K53" s="193"/>
      <c r="L53" s="193"/>
      <c r="M53" s="193"/>
      <c r="N53" s="193"/>
      <c r="O53" s="193"/>
    </row>
    <row r="54" spans="1:15" hidden="1">
      <c r="A54" s="193"/>
      <c r="B54" s="193"/>
      <c r="C54" s="193"/>
      <c r="D54" s="193"/>
      <c r="E54" s="193"/>
      <c r="F54" s="193"/>
      <c r="G54" s="193"/>
      <c r="H54" s="193"/>
      <c r="I54" s="193"/>
      <c r="J54" s="193"/>
      <c r="K54" s="193"/>
      <c r="L54" s="193"/>
      <c r="M54" s="193"/>
      <c r="N54" s="193"/>
      <c r="O54" s="193"/>
    </row>
    <row r="55" spans="1:15" hidden="1">
      <c r="A55" s="193"/>
      <c r="B55" s="193"/>
      <c r="C55" s="193"/>
      <c r="D55" s="193"/>
      <c r="E55" s="193"/>
      <c r="F55" s="193"/>
      <c r="G55" s="193"/>
      <c r="H55" s="193"/>
      <c r="I55" s="193"/>
      <c r="J55" s="193"/>
      <c r="K55" s="193"/>
      <c r="L55" s="193"/>
      <c r="M55" s="193"/>
      <c r="N55" s="193"/>
      <c r="O55" s="193"/>
    </row>
    <row r="56" spans="1:15" hidden="1">
      <c r="A56" s="193"/>
      <c r="B56" s="193"/>
      <c r="C56" s="193"/>
      <c r="D56" s="193"/>
      <c r="E56" s="193"/>
      <c r="F56" s="193"/>
      <c r="G56" s="193"/>
      <c r="H56" s="193"/>
      <c r="I56" s="193"/>
      <c r="J56" s="193"/>
      <c r="K56" s="193"/>
      <c r="L56" s="193"/>
      <c r="M56" s="193"/>
      <c r="N56" s="193"/>
      <c r="O56" s="193"/>
    </row>
    <row r="57" spans="1:15" hidden="1">
      <c r="A57" s="193"/>
      <c r="B57" s="193"/>
      <c r="C57" s="193"/>
      <c r="D57" s="193"/>
      <c r="E57" s="193"/>
      <c r="F57" s="193"/>
      <c r="G57" s="193"/>
      <c r="H57" s="193"/>
      <c r="I57" s="193"/>
      <c r="J57" s="193"/>
      <c r="K57" s="193"/>
      <c r="L57" s="193"/>
      <c r="M57" s="193"/>
      <c r="N57" s="193"/>
      <c r="O57" s="193"/>
    </row>
    <row r="58" spans="1:15" hidden="1">
      <c r="A58" s="193"/>
      <c r="B58" s="193"/>
      <c r="C58" s="193"/>
      <c r="D58" s="193"/>
      <c r="E58" s="193"/>
      <c r="F58" s="193"/>
      <c r="G58" s="193"/>
      <c r="H58" s="193"/>
      <c r="I58" s="193"/>
      <c r="J58" s="193"/>
      <c r="K58" s="193"/>
      <c r="L58" s="193"/>
      <c r="M58" s="193"/>
      <c r="N58" s="193"/>
      <c r="O58" s="193"/>
    </row>
    <row r="59" spans="1:15" hidden="1">
      <c r="A59" s="193"/>
      <c r="B59" s="193"/>
      <c r="C59" s="193"/>
      <c r="D59" s="193"/>
      <c r="E59" s="193"/>
      <c r="F59" s="193"/>
      <c r="G59" s="193"/>
      <c r="H59" s="193"/>
      <c r="I59" s="193"/>
      <c r="J59" s="193"/>
      <c r="K59" s="193"/>
      <c r="L59" s="193"/>
      <c r="M59" s="193"/>
      <c r="N59" s="193"/>
      <c r="O59" s="193"/>
    </row>
    <row r="60" spans="1:15" hidden="1">
      <c r="A60" s="193"/>
      <c r="B60" s="193"/>
      <c r="C60" s="193"/>
      <c r="D60" s="193"/>
      <c r="E60" s="193"/>
      <c r="F60" s="193"/>
      <c r="G60" s="193"/>
      <c r="H60" s="193"/>
      <c r="I60" s="193"/>
      <c r="J60" s="193"/>
      <c r="K60" s="193"/>
      <c r="L60" s="193"/>
      <c r="M60" s="193"/>
      <c r="N60" s="193"/>
      <c r="O60" s="193"/>
    </row>
    <row r="61" spans="1:15" hidden="1">
      <c r="A61" s="193"/>
      <c r="B61" s="193"/>
      <c r="C61" s="193"/>
      <c r="D61" s="193"/>
      <c r="E61" s="193"/>
      <c r="F61" s="193"/>
      <c r="G61" s="193"/>
      <c r="H61" s="193"/>
      <c r="I61" s="193"/>
      <c r="J61" s="193"/>
      <c r="K61" s="193"/>
      <c r="L61" s="193"/>
      <c r="M61" s="193"/>
      <c r="N61" s="193"/>
      <c r="O61" s="193"/>
    </row>
    <row r="62" spans="1:15" hidden="1">
      <c r="A62" s="193"/>
      <c r="B62" s="193"/>
      <c r="C62" s="193"/>
      <c r="D62" s="193"/>
      <c r="E62" s="193"/>
      <c r="F62" s="193"/>
      <c r="G62" s="193"/>
      <c r="H62" s="193"/>
      <c r="I62" s="193"/>
      <c r="J62" s="193"/>
      <c r="K62" s="193"/>
      <c r="L62" s="193"/>
      <c r="M62" s="193"/>
      <c r="N62" s="193"/>
      <c r="O62" s="193"/>
    </row>
    <row r="63" spans="1:15" hidden="1">
      <c r="A63" s="193"/>
      <c r="B63" s="193"/>
      <c r="C63" s="193"/>
      <c r="D63" s="193"/>
      <c r="E63" s="193"/>
      <c r="F63" s="193"/>
      <c r="G63" s="193"/>
      <c r="H63" s="193"/>
      <c r="I63" s="193"/>
      <c r="J63" s="193"/>
      <c r="K63" s="193"/>
      <c r="L63" s="193"/>
      <c r="M63" s="193"/>
      <c r="N63" s="193"/>
      <c r="O63" s="193"/>
    </row>
    <row r="64" spans="1:15" hidden="1">
      <c r="A64" s="193"/>
      <c r="B64" s="193"/>
      <c r="C64" s="193"/>
      <c r="D64" s="193"/>
      <c r="E64" s="193"/>
      <c r="F64" s="193"/>
      <c r="G64" s="193"/>
      <c r="H64" s="193"/>
      <c r="I64" s="193"/>
      <c r="J64" s="193"/>
      <c r="K64" s="193"/>
      <c r="L64" s="193"/>
      <c r="M64" s="193"/>
      <c r="N64" s="193"/>
      <c r="O64" s="193"/>
    </row>
    <row r="65" spans="1:15" hidden="1">
      <c r="A65" s="193"/>
      <c r="B65" s="193"/>
      <c r="C65" s="193"/>
      <c r="D65" s="193"/>
      <c r="E65" s="193"/>
      <c r="F65" s="193"/>
      <c r="G65" s="193"/>
      <c r="H65" s="193"/>
      <c r="I65" s="193"/>
      <c r="J65" s="193"/>
      <c r="K65" s="193"/>
      <c r="L65" s="193"/>
      <c r="M65" s="193"/>
      <c r="N65" s="193"/>
      <c r="O65" s="193"/>
    </row>
    <row r="66" spans="1:15" hidden="1">
      <c r="A66" s="193"/>
      <c r="B66" s="193"/>
      <c r="C66" s="193"/>
      <c r="D66" s="193"/>
      <c r="E66" s="193"/>
      <c r="F66" s="193"/>
      <c r="G66" s="193"/>
      <c r="H66" s="193"/>
      <c r="I66" s="193"/>
      <c r="J66" s="193"/>
      <c r="K66" s="193"/>
      <c r="L66" s="193"/>
      <c r="M66" s="193"/>
      <c r="N66" s="193"/>
      <c r="O66" s="193"/>
    </row>
    <row r="67" spans="1:15" hidden="1">
      <c r="A67" s="193"/>
      <c r="B67" s="193"/>
      <c r="C67" s="193"/>
      <c r="D67" s="193"/>
      <c r="E67" s="193"/>
      <c r="F67" s="193"/>
      <c r="G67" s="193"/>
      <c r="H67" s="193"/>
      <c r="I67" s="193"/>
      <c r="J67" s="193"/>
      <c r="K67" s="193"/>
      <c r="L67" s="193"/>
      <c r="M67" s="193"/>
      <c r="N67" s="193"/>
      <c r="O67" s="193"/>
    </row>
    <row r="68" spans="1:15" hidden="1">
      <c r="A68" s="193"/>
      <c r="B68" s="193"/>
      <c r="C68" s="193"/>
      <c r="D68" s="193"/>
      <c r="E68" s="193"/>
      <c r="F68" s="193"/>
      <c r="G68" s="193"/>
      <c r="H68" s="193"/>
      <c r="I68" s="193"/>
      <c r="J68" s="193"/>
      <c r="K68" s="193"/>
      <c r="L68" s="193"/>
      <c r="M68" s="193"/>
      <c r="N68" s="193"/>
      <c r="O68" s="193"/>
    </row>
    <row r="69" spans="1:15" hidden="1">
      <c r="A69" s="193"/>
      <c r="B69" s="193"/>
      <c r="C69" s="193"/>
      <c r="D69" s="193"/>
      <c r="E69" s="193"/>
      <c r="F69" s="193"/>
      <c r="G69" s="193"/>
      <c r="H69" s="193"/>
      <c r="I69" s="193"/>
      <c r="J69" s="193"/>
      <c r="K69" s="193"/>
      <c r="L69" s="193"/>
      <c r="M69" s="193"/>
      <c r="N69" s="193"/>
      <c r="O69" s="193"/>
    </row>
    <row r="70" spans="1:15" hidden="1">
      <c r="A70" s="193"/>
      <c r="B70" s="193"/>
      <c r="C70" s="193"/>
      <c r="D70" s="193"/>
      <c r="E70" s="193"/>
      <c r="F70" s="193"/>
      <c r="G70" s="193"/>
      <c r="H70" s="193"/>
      <c r="I70" s="193"/>
      <c r="J70" s="193"/>
      <c r="K70" s="193"/>
      <c r="L70" s="193"/>
      <c r="M70" s="193"/>
      <c r="N70" s="193"/>
      <c r="O70" s="193"/>
    </row>
    <row r="71" spans="1:15" hidden="1">
      <c r="A71" s="193"/>
      <c r="B71" s="193"/>
      <c r="C71" s="193"/>
      <c r="D71" s="193"/>
      <c r="E71" s="193"/>
      <c r="F71" s="193"/>
      <c r="G71" s="193"/>
      <c r="H71" s="193"/>
      <c r="I71" s="193"/>
      <c r="J71" s="193"/>
      <c r="K71" s="193"/>
      <c r="L71" s="193"/>
      <c r="M71" s="193"/>
      <c r="N71" s="193"/>
      <c r="O71" s="193"/>
    </row>
    <row r="72" spans="1:15" hidden="1">
      <c r="A72" s="193"/>
      <c r="B72" s="193"/>
      <c r="C72" s="193"/>
      <c r="D72" s="193"/>
      <c r="E72" s="193"/>
      <c r="F72" s="193"/>
      <c r="G72" s="193"/>
      <c r="H72" s="193"/>
      <c r="I72" s="193"/>
      <c r="J72" s="193"/>
      <c r="K72" s="193"/>
      <c r="L72" s="193"/>
      <c r="M72" s="193"/>
      <c r="N72" s="193"/>
      <c r="O72" s="193"/>
    </row>
    <row r="73" spans="1:15" hidden="1">
      <c r="A73" s="193"/>
      <c r="B73" s="193"/>
      <c r="C73" s="193"/>
      <c r="D73" s="193"/>
      <c r="E73" s="193"/>
      <c r="F73" s="193"/>
      <c r="G73" s="193"/>
      <c r="H73" s="193"/>
      <c r="I73" s="193"/>
      <c r="J73" s="193"/>
      <c r="K73" s="193"/>
      <c r="L73" s="193"/>
      <c r="M73" s="193"/>
      <c r="N73" s="193"/>
      <c r="O73" s="193"/>
    </row>
    <row r="74" spans="1:15" hidden="1">
      <c r="A74" s="193"/>
      <c r="B74" s="193"/>
      <c r="C74" s="193"/>
      <c r="D74" s="193"/>
      <c r="E74" s="193"/>
      <c r="F74" s="193"/>
      <c r="G74" s="193"/>
      <c r="H74" s="193"/>
      <c r="I74" s="193"/>
      <c r="J74" s="193"/>
      <c r="K74" s="193"/>
      <c r="L74" s="193"/>
      <c r="M74" s="193"/>
      <c r="N74" s="193"/>
      <c r="O74" s="193"/>
    </row>
    <row r="75" spans="1:15" hidden="1">
      <c r="A75" s="193"/>
      <c r="B75" s="193"/>
      <c r="C75" s="193"/>
      <c r="D75" s="193"/>
      <c r="E75" s="193"/>
      <c r="F75" s="193"/>
      <c r="G75" s="193"/>
      <c r="H75" s="193"/>
      <c r="I75" s="193"/>
      <c r="J75" s="193"/>
      <c r="K75" s="193"/>
      <c r="L75" s="193"/>
      <c r="M75" s="193"/>
      <c r="N75" s="193"/>
      <c r="O75" s="193"/>
    </row>
    <row r="76" spans="1:15" hidden="1">
      <c r="A76" s="193"/>
      <c r="B76" s="193"/>
      <c r="C76" s="193"/>
      <c r="D76" s="193"/>
      <c r="E76" s="193"/>
      <c r="F76" s="193"/>
      <c r="G76" s="193"/>
      <c r="H76" s="193"/>
      <c r="I76" s="193"/>
      <c r="J76" s="193"/>
      <c r="K76" s="193"/>
      <c r="L76" s="193"/>
      <c r="M76" s="193"/>
      <c r="N76" s="193"/>
      <c r="O76" s="193"/>
    </row>
    <row r="77" spans="1:15" hidden="1">
      <c r="A77" s="193"/>
      <c r="B77" s="193"/>
      <c r="C77" s="193"/>
      <c r="D77" s="193"/>
      <c r="E77" s="193"/>
      <c r="F77" s="193"/>
      <c r="G77" s="193"/>
      <c r="H77" s="193"/>
      <c r="I77" s="193"/>
      <c r="J77" s="193"/>
      <c r="K77" s="193"/>
      <c r="L77" s="193"/>
      <c r="M77" s="193"/>
      <c r="N77" s="193"/>
      <c r="O77" s="193"/>
    </row>
    <row r="78" spans="1:15" hidden="1">
      <c r="A78" s="193"/>
      <c r="B78" s="193"/>
      <c r="C78" s="193"/>
      <c r="D78" s="193"/>
      <c r="E78" s="193"/>
      <c r="F78" s="193"/>
      <c r="G78" s="193"/>
      <c r="H78" s="193"/>
      <c r="I78" s="193"/>
      <c r="J78" s="193"/>
      <c r="K78" s="193"/>
      <c r="L78" s="193"/>
      <c r="M78" s="193"/>
      <c r="N78" s="193"/>
      <c r="O78" s="193"/>
    </row>
    <row r="79" spans="1:15" hidden="1">
      <c r="A79" s="193"/>
      <c r="B79" s="193"/>
      <c r="C79" s="193"/>
      <c r="D79" s="193"/>
      <c r="E79" s="193"/>
      <c r="F79" s="193"/>
      <c r="G79" s="193"/>
      <c r="H79" s="193"/>
      <c r="I79" s="193"/>
      <c r="J79" s="193"/>
      <c r="K79" s="193"/>
      <c r="L79" s="193"/>
      <c r="M79" s="193"/>
      <c r="N79" s="193"/>
      <c r="O79" s="193"/>
    </row>
    <row r="80" spans="1:15" hidden="1">
      <c r="A80" s="193"/>
      <c r="B80" s="193"/>
      <c r="C80" s="193"/>
      <c r="D80" s="193"/>
      <c r="E80" s="193"/>
      <c r="F80" s="193"/>
      <c r="G80" s="193"/>
      <c r="H80" s="193"/>
      <c r="I80" s="193"/>
      <c r="J80" s="193"/>
      <c r="K80" s="193"/>
      <c r="L80" s="193"/>
      <c r="M80" s="193"/>
      <c r="N80" s="193"/>
      <c r="O80" s="193"/>
    </row>
    <row r="81" spans="1:15" hidden="1">
      <c r="A81" s="193"/>
      <c r="B81" s="193"/>
      <c r="C81" s="193"/>
      <c r="D81" s="193"/>
      <c r="E81" s="193"/>
      <c r="F81" s="193"/>
      <c r="G81" s="193"/>
      <c r="H81" s="193"/>
      <c r="I81" s="193"/>
      <c r="J81" s="193"/>
      <c r="K81" s="193"/>
      <c r="L81" s="193"/>
      <c r="M81" s="193"/>
      <c r="N81" s="193"/>
      <c r="O81" s="193"/>
    </row>
    <row r="82" spans="1:15" hidden="1">
      <c r="A82" s="193"/>
      <c r="B82" s="193"/>
      <c r="C82" s="193"/>
      <c r="D82" s="193"/>
      <c r="E82" s="193"/>
      <c r="F82" s="193"/>
      <c r="G82" s="193"/>
      <c r="H82" s="193"/>
      <c r="I82" s="193"/>
      <c r="J82" s="193"/>
      <c r="K82" s="193"/>
      <c r="L82" s="193"/>
      <c r="M82" s="193"/>
      <c r="N82" s="193"/>
      <c r="O82" s="193"/>
    </row>
    <row r="83" spans="1:15" hidden="1">
      <c r="A83" s="193"/>
      <c r="B83" s="193"/>
      <c r="C83" s="193"/>
      <c r="D83" s="193"/>
      <c r="E83" s="193"/>
      <c r="F83" s="193"/>
      <c r="G83" s="193"/>
      <c r="H83" s="193"/>
      <c r="I83" s="193"/>
      <c r="J83" s="193"/>
      <c r="K83" s="193"/>
      <c r="L83" s="193"/>
      <c r="M83" s="193"/>
      <c r="N83" s="193"/>
      <c r="O83" s="193"/>
    </row>
    <row r="84" spans="1:15" hidden="1">
      <c r="A84" s="193"/>
      <c r="B84" s="193"/>
      <c r="C84" s="193"/>
      <c r="D84" s="193"/>
      <c r="E84" s="193"/>
      <c r="F84" s="193"/>
      <c r="G84" s="193"/>
      <c r="H84" s="193"/>
      <c r="I84" s="193"/>
      <c r="J84" s="193"/>
      <c r="K84" s="193"/>
      <c r="L84" s="193"/>
      <c r="M84" s="193"/>
      <c r="N84" s="193"/>
      <c r="O84" s="193"/>
    </row>
    <row r="85" spans="1:15" hidden="1">
      <c r="A85" s="193"/>
      <c r="B85" s="193"/>
      <c r="C85" s="193"/>
      <c r="D85" s="193"/>
      <c r="E85" s="193"/>
      <c r="F85" s="193"/>
      <c r="G85" s="193"/>
      <c r="H85" s="193"/>
      <c r="I85" s="193"/>
      <c r="J85" s="193"/>
      <c r="K85" s="193"/>
      <c r="L85" s="193"/>
      <c r="M85" s="193"/>
      <c r="N85" s="193"/>
      <c r="O85" s="193"/>
    </row>
    <row r="86" spans="1:15" hidden="1">
      <c r="A86" s="193"/>
      <c r="B86" s="193"/>
      <c r="C86" s="193"/>
      <c r="D86" s="193"/>
      <c r="E86" s="193"/>
      <c r="F86" s="193"/>
      <c r="G86" s="193"/>
      <c r="H86" s="193"/>
      <c r="I86" s="193"/>
      <c r="J86" s="193"/>
      <c r="K86" s="193"/>
      <c r="L86" s="193"/>
      <c r="M86" s="193"/>
      <c r="N86" s="193"/>
      <c r="O86" s="193"/>
    </row>
    <row r="87" spans="1:15" hidden="1">
      <c r="A87" s="193"/>
      <c r="B87" s="193"/>
      <c r="C87" s="193"/>
      <c r="D87" s="193"/>
      <c r="E87" s="193"/>
      <c r="F87" s="193"/>
      <c r="G87" s="193"/>
      <c r="H87" s="193"/>
      <c r="I87" s="193"/>
      <c r="J87" s="193"/>
      <c r="K87" s="193"/>
      <c r="L87" s="193"/>
      <c r="M87" s="193"/>
      <c r="N87" s="193"/>
      <c r="O87" s="193"/>
    </row>
    <row r="88" spans="1:15" hidden="1">
      <c r="A88" s="193"/>
      <c r="B88" s="193"/>
      <c r="C88" s="193"/>
      <c r="D88" s="193"/>
      <c r="E88" s="193"/>
      <c r="F88" s="193"/>
      <c r="G88" s="193"/>
      <c r="H88" s="193"/>
      <c r="I88" s="193"/>
      <c r="J88" s="193"/>
      <c r="K88" s="193"/>
      <c r="L88" s="193"/>
      <c r="M88" s="193"/>
      <c r="N88" s="193"/>
      <c r="O88" s="193"/>
    </row>
    <row r="89" spans="1:15" hidden="1">
      <c r="A89" s="193"/>
      <c r="B89" s="193"/>
      <c r="C89" s="193"/>
      <c r="D89" s="193"/>
      <c r="E89" s="193"/>
      <c r="F89" s="193"/>
      <c r="G89" s="193"/>
      <c r="H89" s="193"/>
      <c r="I89" s="193"/>
      <c r="J89" s="193"/>
      <c r="K89" s="193"/>
      <c r="L89" s="193"/>
      <c r="M89" s="193"/>
      <c r="N89" s="193"/>
      <c r="O89" s="193"/>
    </row>
    <row r="90" spans="1:15" hidden="1">
      <c r="A90" s="193"/>
      <c r="B90" s="193"/>
      <c r="C90" s="193"/>
      <c r="D90" s="193"/>
      <c r="E90" s="193"/>
      <c r="F90" s="193"/>
      <c r="G90" s="193"/>
      <c r="H90" s="193"/>
      <c r="I90" s="193"/>
      <c r="J90" s="193"/>
      <c r="K90" s="193"/>
      <c r="L90" s="193"/>
      <c r="M90" s="193"/>
      <c r="N90" s="193"/>
      <c r="O90" s="193"/>
    </row>
    <row r="91" spans="1:15" hidden="1">
      <c r="A91" s="193"/>
      <c r="B91" s="193"/>
      <c r="C91" s="193"/>
      <c r="D91" s="193"/>
      <c r="E91" s="193"/>
      <c r="F91" s="193"/>
      <c r="G91" s="193"/>
      <c r="H91" s="193"/>
      <c r="I91" s="193"/>
      <c r="J91" s="193"/>
      <c r="K91" s="193"/>
      <c r="L91" s="193"/>
      <c r="M91" s="193"/>
      <c r="N91" s="193"/>
      <c r="O91" s="193"/>
    </row>
    <row r="92" spans="1:15" hidden="1">
      <c r="A92" s="193"/>
      <c r="B92" s="193"/>
      <c r="C92" s="193"/>
      <c r="D92" s="193"/>
      <c r="E92" s="193"/>
      <c r="F92" s="193"/>
      <c r="G92" s="193"/>
      <c r="H92" s="193"/>
      <c r="I92" s="193"/>
      <c r="J92" s="193"/>
      <c r="K92" s="193"/>
      <c r="L92" s="193"/>
      <c r="M92" s="193"/>
      <c r="N92" s="193"/>
      <c r="O92" s="193"/>
    </row>
    <row r="93" spans="1:15" hidden="1">
      <c r="A93" s="193"/>
      <c r="B93" s="193"/>
      <c r="C93" s="193"/>
      <c r="D93" s="193"/>
      <c r="E93" s="193"/>
      <c r="F93" s="193"/>
      <c r="G93" s="193"/>
      <c r="H93" s="193"/>
      <c r="I93" s="193"/>
      <c r="J93" s="193"/>
      <c r="K93" s="193"/>
      <c r="L93" s="193"/>
      <c r="M93" s="193"/>
      <c r="N93" s="193"/>
      <c r="O93" s="193"/>
    </row>
    <row r="94" spans="1:15" hidden="1">
      <c r="A94" s="193"/>
      <c r="B94" s="193"/>
      <c r="C94" s="193"/>
      <c r="D94" s="193"/>
      <c r="E94" s="193"/>
      <c r="F94" s="193"/>
      <c r="G94" s="193"/>
      <c r="H94" s="193"/>
      <c r="I94" s="193"/>
      <c r="J94" s="193"/>
      <c r="K94" s="193"/>
      <c r="L94" s="193"/>
      <c r="M94" s="193"/>
      <c r="N94" s="193"/>
      <c r="O94" s="193"/>
    </row>
    <row r="95" spans="1:15" hidden="1">
      <c r="A95" s="193"/>
      <c r="B95" s="193"/>
      <c r="C95" s="193"/>
      <c r="D95" s="193"/>
      <c r="E95" s="193"/>
      <c r="F95" s="193"/>
      <c r="G95" s="193"/>
      <c r="H95" s="193"/>
      <c r="I95" s="193"/>
      <c r="J95" s="193"/>
      <c r="K95" s="193"/>
      <c r="L95" s="193"/>
      <c r="M95" s="193"/>
      <c r="N95" s="193"/>
      <c r="O95" s="193"/>
    </row>
    <row r="96" spans="1:15"/>
    <row r="97"/>
    <row r="98"/>
    <row r="99"/>
    <row r="100"/>
    <row r="101"/>
    <row r="102"/>
    <row r="103"/>
    <row r="104"/>
    <row r="105"/>
  </sheetData>
  <pageMargins left="0.7" right="0.7" top="0.75" bottom="0.75" header="0.3" footer="0.3"/>
  <pageSetup paperSize="9" scale="73" orientation="landscape" verticalDpi="597" r:id="rId1"/>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CDC9B-BF2D-42BF-BE1E-0B061FE7F3BA}">
  <dimension ref="A2:C34"/>
  <sheetViews>
    <sheetView workbookViewId="0">
      <selection activeCell="M19" sqref="M19"/>
    </sheetView>
  </sheetViews>
  <sheetFormatPr baseColWidth="10" defaultColWidth="11" defaultRowHeight="14.25"/>
  <cols>
    <col min="1" max="1" width="17.125" bestFit="1" customWidth="1"/>
    <col min="2" max="2" width="18.125" bestFit="1" customWidth="1"/>
    <col min="3" max="3" width="4.875" bestFit="1" customWidth="1"/>
    <col min="4" max="4" width="12.5" bestFit="1" customWidth="1"/>
    <col min="5" max="5" width="12.625" bestFit="1" customWidth="1"/>
  </cols>
  <sheetData>
    <row r="2" spans="1:2">
      <c r="B2">
        <f>SUM(B4:$B$6)</f>
        <v>73</v>
      </c>
    </row>
    <row r="3" spans="1:2">
      <c r="A3" s="1" t="s">
        <v>290</v>
      </c>
      <c r="B3" t="s">
        <v>291</v>
      </c>
    </row>
    <row r="4" spans="1:2">
      <c r="A4" s="99" t="s">
        <v>56</v>
      </c>
      <c r="B4">
        <v>45</v>
      </c>
    </row>
    <row r="5" spans="1:2">
      <c r="A5" s="99" t="s">
        <v>211</v>
      </c>
      <c r="B5">
        <v>28</v>
      </c>
    </row>
    <row r="15" spans="1:2">
      <c r="A15" s="1" t="s">
        <v>291</v>
      </c>
      <c r="B15" s="1" t="s">
        <v>387</v>
      </c>
    </row>
    <row r="16" spans="1:2">
      <c r="A16" s="1" t="s">
        <v>290</v>
      </c>
      <c r="B16" t="s">
        <v>56</v>
      </c>
    </row>
    <row r="17" spans="1:2">
      <c r="A17" s="99">
        <v>1</v>
      </c>
      <c r="B17">
        <v>12</v>
      </c>
    </row>
    <row r="18" spans="1:2">
      <c r="A18" s="99">
        <v>2</v>
      </c>
      <c r="B18">
        <v>15</v>
      </c>
    </row>
    <row r="19" spans="1:2">
      <c r="A19" s="99">
        <v>3</v>
      </c>
      <c r="B19">
        <v>3</v>
      </c>
    </row>
    <row r="20" spans="1:2">
      <c r="A20" s="99">
        <v>4</v>
      </c>
      <c r="B20">
        <v>2</v>
      </c>
    </row>
    <row r="21" spans="1:2">
      <c r="A21" s="99">
        <v>5</v>
      </c>
      <c r="B21">
        <v>11</v>
      </c>
    </row>
    <row r="22" spans="1:2">
      <c r="A22" s="99">
        <v>6</v>
      </c>
      <c r="B22">
        <v>2</v>
      </c>
    </row>
    <row r="33" spans="1:3">
      <c r="A33" s="1" t="s">
        <v>290</v>
      </c>
      <c r="B33" t="s">
        <v>292</v>
      </c>
      <c r="C33" t="s">
        <v>293</v>
      </c>
    </row>
    <row r="34" spans="1:3">
      <c r="A34" s="99" t="s">
        <v>294</v>
      </c>
      <c r="B34">
        <v>2</v>
      </c>
      <c r="C34">
        <v>5</v>
      </c>
    </row>
  </sheetData>
  <pageMargins left="0.7" right="0.7" top="0.75" bottom="0.75" header="0.3" footer="0.3"/>
  <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FFF2D-7D79-45EE-BD57-ABA7BA5B37BA}">
  <sheetPr codeName="Hoja8" filterMode="1"/>
  <dimension ref="A1:DV294"/>
  <sheetViews>
    <sheetView showGridLines="0" topLeftCell="A32" zoomScale="70" zoomScaleNormal="70" workbookViewId="0">
      <selection activeCell="M39" sqref="M39:N39"/>
    </sheetView>
  </sheetViews>
  <sheetFormatPr baseColWidth="10" defaultColWidth="10.5" defaultRowHeight="15"/>
  <cols>
    <col min="1" max="1" width="2.625" style="89" customWidth="1"/>
    <col min="2" max="2" width="12.125" style="5" customWidth="1"/>
    <col min="3" max="4" width="19.125" style="5" customWidth="1"/>
    <col min="5" max="5" width="19.875" style="5" customWidth="1"/>
    <col min="6" max="6" width="17.875" style="5" customWidth="1"/>
    <col min="7" max="7" width="18.5" style="5" customWidth="1"/>
    <col min="8" max="9" width="30.625" style="5" customWidth="1"/>
    <col min="10" max="10" width="29.625" style="5" customWidth="1"/>
    <col min="11" max="11" width="25.625" style="5" customWidth="1"/>
    <col min="12" max="12" width="10.5" style="89"/>
    <col min="13" max="16384" width="10.5" style="5"/>
  </cols>
  <sheetData>
    <row r="1" spans="2:83" ht="19.5" customHeight="1" thickBot="1">
      <c r="B1" s="224" t="e" vm="1">
        <v>#VALUE!</v>
      </c>
      <c r="C1" s="225"/>
      <c r="D1" s="225" t="s">
        <v>295</v>
      </c>
      <c r="E1" s="225"/>
      <c r="F1" s="225"/>
      <c r="G1" s="225"/>
      <c r="H1" s="225"/>
      <c r="I1" s="225"/>
      <c r="J1" s="81" t="s">
        <v>296</v>
      </c>
      <c r="K1" s="81" t="s">
        <v>297</v>
      </c>
      <c r="L1" s="88"/>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4"/>
      <c r="BH1" s="4"/>
      <c r="BI1" s="4"/>
      <c r="BJ1" s="4"/>
      <c r="BK1" s="4"/>
      <c r="BL1" s="4"/>
      <c r="BM1" s="4"/>
      <c r="BN1" s="4"/>
      <c r="BO1" s="4"/>
      <c r="BP1" s="4"/>
      <c r="BQ1" s="4"/>
      <c r="BR1" s="4"/>
      <c r="BS1" s="4"/>
      <c r="BT1" s="4"/>
      <c r="BU1" s="4"/>
      <c r="BV1" s="4"/>
      <c r="BW1" s="4"/>
      <c r="BX1" s="4"/>
      <c r="BY1" s="4"/>
      <c r="BZ1" s="4"/>
      <c r="CA1" s="4"/>
      <c r="CB1" s="4"/>
      <c r="CC1" s="4"/>
      <c r="CD1" s="4"/>
      <c r="CE1" s="4"/>
    </row>
    <row r="2" spans="2:83" ht="19.5" customHeight="1" thickBot="1">
      <c r="B2" s="226"/>
      <c r="C2" s="227"/>
      <c r="D2" s="227"/>
      <c r="E2" s="227"/>
      <c r="F2" s="227"/>
      <c r="G2" s="227"/>
      <c r="H2" s="227"/>
      <c r="I2" s="227"/>
      <c r="J2" s="81" t="s">
        <v>298</v>
      </c>
      <c r="K2" s="82">
        <v>1</v>
      </c>
      <c r="L2" s="88"/>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row>
    <row r="3" spans="2:83" ht="19.5" customHeight="1" thickBot="1">
      <c r="B3" s="228"/>
      <c r="C3" s="229"/>
      <c r="D3" s="229"/>
      <c r="E3" s="229"/>
      <c r="F3" s="229"/>
      <c r="G3" s="229"/>
      <c r="H3" s="229"/>
      <c r="I3" s="229"/>
      <c r="J3" s="81" t="s">
        <v>299</v>
      </c>
      <c r="K3" s="83">
        <v>45845</v>
      </c>
      <c r="L3" s="88"/>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row>
    <row r="30" spans="17:17">
      <c r="Q30" s="97"/>
    </row>
    <row r="34" spans="1:126" ht="15" customHeight="1" thickBot="1">
      <c r="B34" s="6"/>
      <c r="C34" s="6"/>
      <c r="D34" s="6"/>
      <c r="E34" s="6"/>
      <c r="F34" s="6"/>
      <c r="G34" s="6"/>
      <c r="H34" s="6"/>
      <c r="I34" s="6"/>
      <c r="J34" s="6"/>
      <c r="K34" s="6"/>
    </row>
    <row r="35" spans="1:126" ht="48" customHeight="1" thickBot="1">
      <c r="B35" s="230" t="s">
        <v>300</v>
      </c>
      <c r="C35" s="231"/>
      <c r="D35" s="232" t="s">
        <v>301</v>
      </c>
      <c r="E35" s="232"/>
      <c r="F35" s="232"/>
      <c r="G35" s="232"/>
      <c r="H35" s="232"/>
      <c r="I35" s="84" t="s">
        <v>302</v>
      </c>
      <c r="J35" s="231" t="s">
        <v>303</v>
      </c>
      <c r="K35" s="233"/>
      <c r="L35" s="88"/>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row>
    <row r="36" spans="1:126" s="8" customFormat="1" ht="19.5" thickBot="1">
      <c r="A36" s="93"/>
      <c r="B36" s="85" t="s">
        <v>304</v>
      </c>
      <c r="C36" s="86"/>
      <c r="D36" s="86"/>
      <c r="E36" s="86"/>
      <c r="F36" s="86"/>
      <c r="G36" s="86"/>
      <c r="H36" s="87"/>
      <c r="I36" s="87"/>
      <c r="J36" s="87"/>
      <c r="K36" s="87"/>
      <c r="L36" s="90"/>
      <c r="M36" s="7"/>
      <c r="N36" s="223"/>
      <c r="O36" s="223"/>
      <c r="P36" s="223"/>
      <c r="Q36" s="223"/>
      <c r="R36" s="223"/>
      <c r="S36" s="223"/>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row>
    <row r="37" spans="1:126" ht="24.95" customHeight="1" thickBot="1">
      <c r="B37" s="6"/>
      <c r="C37" s="6"/>
      <c r="D37" s="6"/>
      <c r="E37" s="6"/>
      <c r="F37" s="6"/>
      <c r="G37" s="6"/>
      <c r="H37" s="107" t="s">
        <v>305</v>
      </c>
      <c r="I37" s="108" t="s">
        <v>306</v>
      </c>
      <c r="J37" s="108" t="s">
        <v>307</v>
      </c>
      <c r="K37" s="109" t="s">
        <v>308</v>
      </c>
      <c r="M37" s="240" t="s">
        <v>309</v>
      </c>
      <c r="N37" s="240"/>
    </row>
    <row r="38" spans="1:126" ht="75" customHeight="1">
      <c r="B38" s="6"/>
      <c r="C38" s="6"/>
      <c r="D38" s="6"/>
      <c r="E38" s="6"/>
      <c r="F38" s="6"/>
      <c r="G38" s="6"/>
      <c r="H38" s="116" t="str" cm="1">
        <f t="array" ref="H38">IFERROR(INDEX(BASE!F:F,_xlfn.AGGREGATE(15,6,(ROW(BASE!D:D)/(BASE!D:D=$M$38)),ROW()-37)),"")</f>
        <v>Reubicación de rollos de film 
1. Relevar cantidad de pallets que pueden reubicarse. 1 pallet en total
2. Diseñar estructura para colocar los films de forma tal que tenga capacidad de 1 pallet
3. Armar estructura, colocar a piso de planta, cargar con mercadería y zonificar</v>
      </c>
      <c r="I38" s="117" t="str" cm="1">
        <f t="array" ref="I38">IFERROR(INDEX(BASE!G:G,_xlfn.AGGREGATE(15,6,(ROW(BASE!D:D)/(BASE!D:D=$M$38)),ROW()-37)),"")</f>
        <v>Reubicacion de rollos film</v>
      </c>
      <c r="J38" s="118" t="str" cm="1">
        <f t="array" ref="J38">IFERROR(INDEX(BASE!Q:Q,_xlfn.AGGREGATE(15,6,(ROW(BASE!D:D)/(BASE!D:D=$M$38)),ROW()-37)),"")</f>
        <v>Melany Bolivar
Leonel Segovia
Matias Pavón</v>
      </c>
      <c r="K38" s="119" cm="1">
        <f t="array" ref="K38">IFERROR(INDEX(BASE!H:H,_xlfn.AGGREGATE(15,6,(ROW(BASE!D:D)/(BASE!D:D=$M$38)),ROW()-37)),"")</f>
        <v>46300</v>
      </c>
      <c r="L38" s="96">
        <f>IF(H38="",0,1)</f>
        <v>1</v>
      </c>
      <c r="M38" s="241" t="s">
        <v>184</v>
      </c>
      <c r="N38" s="241"/>
    </row>
    <row r="39" spans="1:126" ht="75" customHeight="1">
      <c r="B39" s="6"/>
      <c r="C39" s="6"/>
      <c r="D39" s="6"/>
      <c r="E39" s="6"/>
      <c r="F39" s="6"/>
      <c r="G39" s="6"/>
      <c r="H39" s="120" t="str" cm="1">
        <f t="array" ref="H39">IFERROR(INDEX(BASE!F:F,_xlfn.AGGREGATE(15,6,(ROW(BASE!D:D)/(BASE!D:D=$M$38)),ROW()-37)),"")</f>
        <v>Mantenimiento no cuenta con espacio físico para acopio de repuestos, herramientas, varios</v>
      </c>
      <c r="I39" s="121" t="str" cm="1">
        <f t="array" ref="I39">IFERROR(INDEX(BASE!G:G,_xlfn.AGGREGATE(15,6,(ROW(BASE!D:D)/(BASE!D:D=$M$38)),ROW()-37)),"")</f>
        <v>Incorporar racks en subsuelo para pañol de mantenimiento</v>
      </c>
      <c r="J39" s="122" t="str" cm="1">
        <f t="array" ref="J39">IFERROR(INDEX(BASE!Q:Q,_xlfn.AGGREGATE(15,6,(ROW(BASE!D:D)/(BASE!D:D=$M$38)),ROW()-37)),"")</f>
        <v>Pablo Amat
Leonel Segovia
Luis Reyes</v>
      </c>
      <c r="K39" s="123" cm="1">
        <f t="array" ref="K39">IFERROR(INDEX(BASE!H:H,_xlfn.AGGREGATE(15,6,(ROW(BASE!D:D)/(BASE!D:D=$M$38)),ROW()-37)),"")</f>
        <v>46323</v>
      </c>
      <c r="L39" s="96">
        <f t="shared" ref="L39:L42" si="0">IF(H39="",0,1)</f>
        <v>1</v>
      </c>
      <c r="M39" s="241"/>
      <c r="N39" s="241"/>
    </row>
    <row r="40" spans="1:126" ht="75" customHeight="1">
      <c r="B40" s="6"/>
      <c r="C40" s="6"/>
      <c r="D40" s="6"/>
      <c r="E40" s="6"/>
      <c r="F40" s="6"/>
      <c r="G40" s="6"/>
      <c r="H40" s="120" t="str" cm="1">
        <f t="array" ref="H40">IFERROR(INDEX(BASE!F:F,_xlfn.AGGREGATE(15,6,(ROW(BASE!D:D)/(BASE!D:D=$M$38)),ROW()-37)),"")</f>
        <v>Se dispone de armarios en cada piso para que limpieza cuente con un stock
 en todos los pisos</v>
      </c>
      <c r="I40" s="121" t="str" cm="1">
        <f t="array" ref="I40">IFERROR(INDEX(BASE!G:G,_xlfn.AGGREGATE(15,6,(ROW(BASE!D:D)/(BASE!D:D=$M$38)),ROW()-37)),"")</f>
        <v>Adecuacion de espacio en cada piso para limpieza</v>
      </c>
      <c r="J40" s="122" t="str" cm="1">
        <f t="array" ref="J40">IFERROR(INDEX(BASE!Q:Q,_xlfn.AGGREGATE(15,6,(ROW(BASE!D:D)/(BASE!D:D=$M$38)),ROW()-37)),"")</f>
        <v>Melany Bolivar</v>
      </c>
      <c r="K40" s="123" cm="1">
        <f t="array" ref="K40">IFERROR(INDEX(BASE!H:H,_xlfn.AGGREGATE(15,6,(ROW(BASE!D:D)/(BASE!D:D=$M$38)),ROW()-37)),"")</f>
        <v>46325</v>
      </c>
      <c r="L40" s="96">
        <f t="shared" si="0"/>
        <v>1</v>
      </c>
      <c r="M40" s="241"/>
      <c r="N40" s="241"/>
    </row>
    <row r="41" spans="1:126" ht="75" customHeight="1">
      <c r="B41" s="6"/>
      <c r="C41" s="6"/>
      <c r="D41" s="6"/>
      <c r="E41" s="6"/>
      <c r="F41" s="6"/>
      <c r="G41" s="6"/>
      <c r="H41" s="120" t="str" cm="1">
        <f t="array" ref="H41">IFERROR(INDEX(BASE!F:F,_xlfn.AGGREGATE(15,6,(ROW(BASE!D:D)/(BASE!D:D=$M$38)),ROW()-37)),"")</f>
        <v>Por obsolescencia de materiales, dispositivos, y eficiencia de iluminación se evalua recambio de luminaria a formato LED
Mejora de Eficiencia Energética :
Hall de ingreso 
Iluminación comedor (abril)
Iluminación piso 1 
Iluminación deposito
Metrica: $/Kwh ahorro</v>
      </c>
      <c r="I41" s="121" t="str" cm="1">
        <f t="array" ref="I41">IFERROR(INDEX(BASE!G:G,_xlfn.AGGREGATE(15,6,(ROW(BASE!D:D)/(BASE!D:D=$M$38)),ROW()-37)),"")</f>
        <v>Mejora de Eficiencia Energética</v>
      </c>
      <c r="J41" s="122" t="str" cm="1">
        <f t="array" ref="J41">IFERROR(INDEX(BASE!Q:Q,_xlfn.AGGREGATE(15,6,(ROW(BASE!D:D)/(BASE!D:D=$M$38)),ROW()-37)),"")</f>
        <v>Melany Bolivar
Leo Segovia
Pablo Amat
Carolina Lepez</v>
      </c>
      <c r="K41" s="123" cm="1">
        <f t="array" ref="K41">IFERROR(INDEX(BASE!H:H,_xlfn.AGGREGATE(15,6,(ROW(BASE!D:D)/(BASE!D:D=$M$38)),ROW()-37)),"")</f>
        <v>46325</v>
      </c>
      <c r="L41" s="96">
        <f t="shared" si="0"/>
        <v>1</v>
      </c>
    </row>
    <row r="42" spans="1:126" ht="75" customHeight="1">
      <c r="B42" s="6"/>
      <c r="C42" s="6"/>
      <c r="D42" s="6"/>
      <c r="E42" s="6"/>
      <c r="F42" s="6"/>
      <c r="G42" s="6"/>
      <c r="H42" s="120" t="str" cm="1">
        <f t="array" ref="H42">IFERROR(INDEX(BASE!F:F,_xlfn.AGGREGATE(15,6,(ROW(BASE!D:D)/(BASE!D:D=$M$38)),ROW()-37)),"")</f>
        <v>Relayout de puesto de recepción
1. Identificar oportunidades de mejora
2. Registrar la condición inicial de layout
3. Reorganizar el espacio:
3.1. Corrimiento de jaula 1mt hacia portón (revisar cámara)
3.2. Retiro de escritorio fuera de uso y reorganización de estanterias
3.3. Agregar estante en jaula
3.4. Armado de estructura para colocar impresoras
3.5. Agregar 1 estante para colocar stock mínimo de resma, formularios</v>
      </c>
      <c r="I42" s="121" t="str" cm="1">
        <f t="array" ref="I42">IFERROR(INDEX(BASE!G:G,_xlfn.AGGREGATE(15,6,(ROW(BASE!D:D)/(BASE!D:D=$M$38)),ROW()-37)),"")</f>
        <v>Relayout puesto de recepción</v>
      </c>
      <c r="J42" s="122" t="str" cm="1">
        <f t="array" ref="J42">IFERROR(INDEX(BASE!Q:Q,_xlfn.AGGREGATE(15,6,(ROW(BASE!D:D)/(BASE!D:D=$M$38)),ROW()-37)),"")</f>
        <v>Melany Bolivar
Magali Arteaga
Silvana Jacinto
Luis Reyes</v>
      </c>
      <c r="K42" s="123" cm="1">
        <f t="array" ref="K42">IFERROR(INDEX(BASE!H:H,_xlfn.AGGREGATE(15,6,(ROW(BASE!D:D)/(BASE!D:D=$M$38)),ROW()-37)),"")</f>
        <v>46325</v>
      </c>
      <c r="L42" s="96">
        <f t="shared" si="0"/>
        <v>1</v>
      </c>
    </row>
    <row r="43" spans="1:126" ht="75" customHeight="1" thickBot="1">
      <c r="B43" s="6"/>
      <c r="C43" s="6"/>
      <c r="D43" s="6"/>
      <c r="E43" s="6"/>
      <c r="F43" s="6"/>
      <c r="G43" s="6"/>
      <c r="H43" s="124" t="str" cm="1">
        <f t="array" ref="H43">IFERROR(INDEX(BASE!F:F,_xlfn.AGGREGATE(15,6,(ROW(BASE!D:D)/(BASE!D:D=$M$38)),ROW()-37)),"")</f>
        <v>Mejor trazabilidad de desvíos con transportistas de Calicó
1. Calico no cuenta con control de trazabilidad de mercadería
2. Registrar por foto la recepción (planilla de rendción, nota de devolución, detalle de pallet)
3. Actualizar la hoja de proceso</v>
      </c>
      <c r="I43" s="125" t="str" cm="1">
        <f t="array" ref="I43">IFERROR(INDEX(BASE!G:G,_xlfn.AGGREGATE(15,6,(ROW(BASE!D:D)/(BASE!D:D=$M$38)),ROW()-37)),"")</f>
        <v>Mejor trazabilidad de desvíos con transportistas de Calicó</v>
      </c>
      <c r="J43" s="126" t="str" cm="1">
        <f t="array" ref="J43">IFERROR(INDEX(BASE!Q:Q,_xlfn.AGGREGATE(15,6,(ROW(BASE!D:D)/(BASE!D:D=$M$38)),ROW()-37)),"")</f>
        <v>Silvana Jacinto
Magali Arteaga</v>
      </c>
      <c r="K43" s="127" cm="1">
        <f t="array" ref="K43">IFERROR(INDEX(BASE!H:H,_xlfn.AGGREGATE(15,6,(ROW(BASE!D:D)/(BASE!D:D=$M$38)),ROW()-37)),"")</f>
        <v>46325</v>
      </c>
      <c r="L43" s="96"/>
    </row>
    <row r="44" spans="1:126" ht="17.100000000000001" customHeight="1" thickBot="1">
      <c r="B44" s="6"/>
      <c r="C44" s="6"/>
      <c r="D44" s="6"/>
      <c r="E44" s="6"/>
      <c r="F44" s="6"/>
      <c r="G44" s="6"/>
      <c r="H44" s="104"/>
      <c r="I44" s="104"/>
      <c r="J44" s="105"/>
      <c r="K44" s="106"/>
      <c r="L44" s="96"/>
    </row>
    <row r="45" spans="1:126" s="11" customFormat="1" ht="21.6" hidden="1" customHeight="1" thickBot="1">
      <c r="B45" s="9"/>
      <c r="C45" s="9"/>
      <c r="D45" s="9"/>
      <c r="E45" s="10" t="s">
        <v>310</v>
      </c>
      <c r="F45" s="9"/>
      <c r="G45" s="9"/>
      <c r="H45" s="9"/>
    </row>
    <row r="46" spans="1:126" ht="21" customHeight="1" thickBot="1">
      <c r="B46" s="242" t="s">
        <v>311</v>
      </c>
      <c r="C46" s="243"/>
      <c r="D46" s="243"/>
      <c r="E46" s="243"/>
      <c r="F46" s="243"/>
      <c r="G46" s="244"/>
    </row>
    <row r="47" spans="1:126" ht="31.5" customHeight="1">
      <c r="B47" s="12" t="s">
        <v>312</v>
      </c>
      <c r="C47" s="13" t="s">
        <v>313</v>
      </c>
      <c r="D47" s="13" t="s">
        <v>314</v>
      </c>
      <c r="E47" s="14" t="s">
        <v>315</v>
      </c>
      <c r="F47" s="15" t="s">
        <v>316</v>
      </c>
      <c r="G47" s="15" t="s">
        <v>317</v>
      </c>
    </row>
    <row r="48" spans="1:126" s="17" customFormat="1" ht="16.5" hidden="1" customHeight="1">
      <c r="B48" s="16">
        <v>2018</v>
      </c>
      <c r="C48" s="45"/>
      <c r="D48" s="45"/>
      <c r="E48" s="45">
        <f>IFERROR(IF(C48&gt;=D48,C48,""),"")</f>
        <v>0</v>
      </c>
      <c r="F48" s="45" t="str">
        <f>IFERROR(IF(C48&lt;D48,C48,""),"")</f>
        <v/>
      </c>
      <c r="G48" s="46" t="str">
        <f>IFERROR(TREND($C$48:$C$50,$B$48:$B$50,B48,TRUE),"")</f>
        <v/>
      </c>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row>
    <row r="49" spans="1:126" s="17" customFormat="1" ht="17.25" hidden="1" customHeight="1">
      <c r="B49" s="18">
        <v>2019</v>
      </c>
      <c r="C49" s="19"/>
      <c r="D49" s="19"/>
      <c r="E49" s="19">
        <f t="shared" ref="E49:E58" si="1">IFERROR(IF(C49&gt;=D49,C49,""),"")</f>
        <v>0</v>
      </c>
      <c r="F49" s="19" t="str">
        <f t="shared" ref="F49:F58" si="2">IFERROR(IF(C49&lt;D49,C49,""),"")</f>
        <v/>
      </c>
      <c r="G49" s="47" t="str">
        <f t="shared" ref="G49:G50" si="3">IFERROR(TREND($C$48:$C$50,$B$48:$B$50,B49,TRUE),"")</f>
        <v/>
      </c>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row>
    <row r="50" spans="1:126" s="17" customFormat="1" ht="17.25" hidden="1" customHeight="1">
      <c r="B50" s="18">
        <v>2020</v>
      </c>
      <c r="C50" s="19"/>
      <c r="D50" s="19"/>
      <c r="E50" s="19">
        <f t="shared" si="1"/>
        <v>0</v>
      </c>
      <c r="F50" s="19" t="str">
        <f t="shared" si="2"/>
        <v/>
      </c>
      <c r="G50" s="47" t="str">
        <f t="shared" si="3"/>
        <v/>
      </c>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row>
    <row r="51" spans="1:126" s="4" customFormat="1" ht="17.25" hidden="1" customHeight="1">
      <c r="B51" s="20">
        <v>2021</v>
      </c>
      <c r="C51" s="48" t="str">
        <f>IFERROR((#REF!/#REF!*1000000),"")</f>
        <v/>
      </c>
      <c r="D51" s="21">
        <f>SEGUIMIENTO!$E$283</f>
        <v>0</v>
      </c>
      <c r="E51" s="32" t="str">
        <f t="shared" si="1"/>
        <v/>
      </c>
      <c r="F51" s="48" t="str">
        <f t="shared" si="2"/>
        <v/>
      </c>
      <c r="G51" s="47" t="str">
        <f t="shared" ref="G51:G58" si="4">IFERROR(TREND($C$48:$C$58,$B$48:$B$58,B51,TRUE),"")</f>
        <v/>
      </c>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row>
    <row r="52" spans="1:126" s="4" customFormat="1" ht="17.25" hidden="1" customHeight="1">
      <c r="B52" s="20">
        <v>2022</v>
      </c>
      <c r="C52" s="48" t="str">
        <f>IFERROR((#REF!/#REF!*1000000),"")</f>
        <v/>
      </c>
      <c r="D52" s="21">
        <f>SEGUIMIENTO!$F$283</f>
        <v>0</v>
      </c>
      <c r="E52" s="32" t="str">
        <f t="shared" si="1"/>
        <v/>
      </c>
      <c r="F52" s="48" t="str">
        <f t="shared" si="2"/>
        <v/>
      </c>
      <c r="G52" s="47" t="str">
        <f t="shared" si="4"/>
        <v/>
      </c>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row>
    <row r="53" spans="1:126" s="4" customFormat="1" ht="17.25" customHeight="1">
      <c r="A53" s="88"/>
      <c r="B53" s="20">
        <v>2024</v>
      </c>
      <c r="C53" s="48" t="str">
        <f>IFERROR((#REF!/#REF!*1000000),"")</f>
        <v/>
      </c>
      <c r="D53" s="21">
        <f>SEGUIMIENTO!$G$283</f>
        <v>0</v>
      </c>
      <c r="E53" s="32" t="str">
        <f t="shared" si="1"/>
        <v/>
      </c>
      <c r="F53" s="48" t="str">
        <f t="shared" si="2"/>
        <v/>
      </c>
      <c r="G53" s="47" t="str">
        <f t="shared" si="4"/>
        <v/>
      </c>
      <c r="H53" s="5"/>
      <c r="I53" s="5"/>
      <c r="J53" s="5"/>
      <c r="K53" s="5"/>
      <c r="L53" s="89"/>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row>
    <row r="54" spans="1:126" s="4" customFormat="1" ht="17.25" customHeight="1">
      <c r="A54" s="88"/>
      <c r="B54" s="20">
        <v>2025</v>
      </c>
      <c r="C54" s="48" t="str">
        <f>IFERROR((#REF!/#REF!*1000000),"")</f>
        <v/>
      </c>
      <c r="D54" s="21">
        <f>SEGUIMIENTO!$H$283</f>
        <v>0</v>
      </c>
      <c r="E54" s="32" t="str">
        <f t="shared" si="1"/>
        <v/>
      </c>
      <c r="F54" s="48" t="str">
        <f t="shared" si="2"/>
        <v/>
      </c>
      <c r="G54" s="47" t="str">
        <f t="shared" si="4"/>
        <v/>
      </c>
      <c r="H54" s="5"/>
      <c r="I54" s="5"/>
      <c r="K54" s="5"/>
      <c r="L54" s="89"/>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row>
    <row r="55" spans="1:126" s="4" customFormat="1" ht="17.25" customHeight="1" thickBot="1">
      <c r="A55" s="88"/>
      <c r="B55" s="20">
        <v>2026</v>
      </c>
      <c r="C55" s="48" t="str">
        <f>IFERROR((#REF!/#REF!*1000000),"")</f>
        <v/>
      </c>
      <c r="D55" s="21">
        <f>SEGUIMIENTO!$I$283</f>
        <v>0</v>
      </c>
      <c r="E55" s="32" t="str">
        <f t="shared" si="1"/>
        <v/>
      </c>
      <c r="F55" s="48" t="str">
        <f t="shared" si="2"/>
        <v/>
      </c>
      <c r="G55" s="47" t="str">
        <f t="shared" si="4"/>
        <v/>
      </c>
      <c r="H55" s="5"/>
      <c r="I55" s="5"/>
      <c r="J55" s="5"/>
      <c r="K55" s="5"/>
      <c r="L55" s="89"/>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row>
    <row r="56" spans="1:126" s="4" customFormat="1" ht="17.25" hidden="1" customHeight="1" thickBot="1">
      <c r="B56" s="20">
        <v>2026</v>
      </c>
      <c r="C56" s="48" t="str">
        <f>IFERROR((#REF!/#REF!*1000000),"")</f>
        <v/>
      </c>
      <c r="D56" s="21">
        <f>SEGUIMIENTO!$J$283</f>
        <v>24</v>
      </c>
      <c r="E56" s="32" t="str">
        <f t="shared" si="1"/>
        <v/>
      </c>
      <c r="F56" s="48" t="str">
        <f t="shared" si="2"/>
        <v/>
      </c>
      <c r="G56" s="47" t="str">
        <f t="shared" si="4"/>
        <v/>
      </c>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row>
    <row r="57" spans="1:126" s="4" customFormat="1" ht="17.25" hidden="1" customHeight="1" thickBot="1">
      <c r="B57" s="20">
        <v>2027</v>
      </c>
      <c r="C57" s="48" t="str">
        <f>IFERROR((#REF!/#REF!*1000000),"")</f>
        <v/>
      </c>
      <c r="D57" s="21">
        <f>SEGUIMIENTO!$K$283</f>
        <v>0</v>
      </c>
      <c r="E57" s="32" t="str">
        <f t="shared" si="1"/>
        <v/>
      </c>
      <c r="F57" s="48" t="str">
        <f t="shared" si="2"/>
        <v/>
      </c>
      <c r="G57" s="47" t="str">
        <f t="shared" si="4"/>
        <v/>
      </c>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row>
    <row r="58" spans="1:126" s="4" customFormat="1" ht="17.25" hidden="1" customHeight="1" thickBot="1">
      <c r="B58" s="22">
        <v>2028</v>
      </c>
      <c r="C58" s="49" t="str">
        <f>IFERROR((#REF!/#REF!*1000000),"")</f>
        <v/>
      </c>
      <c r="D58" s="23">
        <f>SEGUIMIENTO!$L$283</f>
        <v>0</v>
      </c>
      <c r="E58" s="50" t="str">
        <f t="shared" si="1"/>
        <v/>
      </c>
      <c r="F58" s="49" t="str">
        <f t="shared" si="2"/>
        <v/>
      </c>
      <c r="G58" s="51" t="str">
        <f t="shared" si="4"/>
        <v/>
      </c>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row>
    <row r="59" spans="1:126" s="17" customFormat="1" ht="15.75" thickBot="1">
      <c r="A59" s="94"/>
      <c r="B59" s="24"/>
      <c r="C59" s="52"/>
      <c r="D59" s="52"/>
      <c r="E59" s="25"/>
      <c r="F59" s="25"/>
      <c r="G59" s="53"/>
      <c r="H59" s="5"/>
      <c r="I59" s="5"/>
      <c r="J59" s="5"/>
      <c r="K59" s="5"/>
      <c r="L59" s="89"/>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row>
    <row r="60" spans="1:126" s="4" customFormat="1" ht="17.25" hidden="1" customHeight="1">
      <c r="B60" s="34">
        <v>43466</v>
      </c>
      <c r="C60" s="54">
        <v>43000</v>
      </c>
      <c r="D60" s="55">
        <f>SEGUIMIENTO!$C$287</f>
        <v>0</v>
      </c>
      <c r="E60" s="54">
        <f t="shared" ref="E60:E123" si="5">IFERROR(IF(C60&gt;=D60,C60,""),"")</f>
        <v>43000</v>
      </c>
      <c r="F60" s="54" t="str">
        <f t="shared" ref="F60:F123" si="6">IFERROR(IF(C60&lt;D60,C60,""),"")</f>
        <v/>
      </c>
      <c r="G60" s="46" t="str">
        <f>IFERROR(TREND($C$60:$C$71,$B$60:$B$71,B60,TRUE),"")</f>
        <v/>
      </c>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row>
    <row r="61" spans="1:126" s="4" customFormat="1" ht="17.25" hidden="1" customHeight="1">
      <c r="B61" s="28">
        <v>43497</v>
      </c>
      <c r="C61" s="21">
        <v>40000</v>
      </c>
      <c r="D61" s="48">
        <f>SEGUIMIENTO!$C$287</f>
        <v>0</v>
      </c>
      <c r="E61" s="21">
        <f t="shared" si="5"/>
        <v>40000</v>
      </c>
      <c r="F61" s="21" t="str">
        <f t="shared" si="6"/>
        <v/>
      </c>
      <c r="G61" s="47" t="str">
        <f>IFERROR(TREND($C$60:$C$71,$B$60:$B$71,B61,TRUE),"")</f>
        <v/>
      </c>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row>
    <row r="62" spans="1:126" s="4" customFormat="1" ht="17.25" hidden="1" customHeight="1">
      <c r="B62" s="28">
        <v>43525</v>
      </c>
      <c r="C62" s="21">
        <v>40000</v>
      </c>
      <c r="D62" s="48">
        <f>SEGUIMIENTO!$C$287</f>
        <v>0</v>
      </c>
      <c r="E62" s="21">
        <f t="shared" si="5"/>
        <v>40000</v>
      </c>
      <c r="F62" s="21" t="str">
        <f t="shared" si="6"/>
        <v/>
      </c>
      <c r="G62" s="47" t="str">
        <f>IFERROR(TREND($C$60:$C$71,$B$60:$B$71,B62,TRUE),"")</f>
        <v/>
      </c>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row>
    <row r="63" spans="1:126" s="4" customFormat="1" ht="17.25" hidden="1" customHeight="1">
      <c r="B63" s="28">
        <v>43556</v>
      </c>
      <c r="C63" s="21">
        <v>40000</v>
      </c>
      <c r="D63" s="48">
        <f>SEGUIMIENTO!$C$287</f>
        <v>0</v>
      </c>
      <c r="E63" s="21">
        <f t="shared" si="5"/>
        <v>40000</v>
      </c>
      <c r="F63" s="21" t="str">
        <f t="shared" si="6"/>
        <v/>
      </c>
      <c r="G63" s="47" t="str">
        <f t="shared" ref="G63:G71" si="7">IFERROR(TREND($C$60:$C$71,$B$60:$B$71,B63,TRUE),"")</f>
        <v/>
      </c>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row>
    <row r="64" spans="1:126" s="4" customFormat="1" ht="17.25" hidden="1" customHeight="1">
      <c r="B64" s="28">
        <v>43586</v>
      </c>
      <c r="C64" s="21">
        <v>40000</v>
      </c>
      <c r="D64" s="48">
        <f>SEGUIMIENTO!$C$287</f>
        <v>0</v>
      </c>
      <c r="E64" s="21">
        <f t="shared" si="5"/>
        <v>40000</v>
      </c>
      <c r="F64" s="21" t="str">
        <f t="shared" si="6"/>
        <v/>
      </c>
      <c r="G64" s="47" t="str">
        <f t="shared" si="7"/>
        <v/>
      </c>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row>
    <row r="65" spans="2:126" s="4" customFormat="1" ht="17.25" hidden="1" customHeight="1">
      <c r="B65" s="28">
        <v>43617</v>
      </c>
      <c r="C65" s="21">
        <v>40000</v>
      </c>
      <c r="D65" s="48">
        <f>SEGUIMIENTO!$C$287</f>
        <v>0</v>
      </c>
      <c r="E65" s="21">
        <f t="shared" si="5"/>
        <v>40000</v>
      </c>
      <c r="F65" s="21" t="str">
        <f t="shared" si="6"/>
        <v/>
      </c>
      <c r="G65" s="47" t="str">
        <f t="shared" si="7"/>
        <v/>
      </c>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row>
    <row r="66" spans="2:126" s="17" customFormat="1" ht="17.25" hidden="1" customHeight="1">
      <c r="B66" s="27">
        <v>43647</v>
      </c>
      <c r="C66" s="19"/>
      <c r="D66" s="19"/>
      <c r="E66" s="19">
        <f t="shared" si="5"/>
        <v>0</v>
      </c>
      <c r="F66" s="19" t="str">
        <f t="shared" si="6"/>
        <v/>
      </c>
      <c r="G66" s="56" t="str">
        <f t="shared" si="7"/>
        <v/>
      </c>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row>
    <row r="67" spans="2:126" s="17" customFormat="1" ht="17.25" hidden="1" customHeight="1">
      <c r="B67" s="27">
        <v>43678</v>
      </c>
      <c r="C67" s="19"/>
      <c r="D67" s="19"/>
      <c r="E67" s="19">
        <f t="shared" si="5"/>
        <v>0</v>
      </c>
      <c r="F67" s="19" t="str">
        <f t="shared" si="6"/>
        <v/>
      </c>
      <c r="G67" s="56" t="str">
        <f t="shared" si="7"/>
        <v/>
      </c>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row>
    <row r="68" spans="2:126" s="17" customFormat="1" ht="17.25" hidden="1" customHeight="1">
      <c r="B68" s="27">
        <v>43709</v>
      </c>
      <c r="C68" s="19"/>
      <c r="D68" s="19"/>
      <c r="E68" s="19">
        <f t="shared" si="5"/>
        <v>0</v>
      </c>
      <c r="F68" s="19" t="str">
        <f t="shared" si="6"/>
        <v/>
      </c>
      <c r="G68" s="56" t="str">
        <f t="shared" si="7"/>
        <v/>
      </c>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row>
    <row r="69" spans="2:126" s="17" customFormat="1" ht="17.25" hidden="1" customHeight="1">
      <c r="B69" s="27">
        <v>43739</v>
      </c>
      <c r="C69" s="19"/>
      <c r="D69" s="19"/>
      <c r="E69" s="19">
        <f t="shared" si="5"/>
        <v>0</v>
      </c>
      <c r="F69" s="19" t="str">
        <f t="shared" si="6"/>
        <v/>
      </c>
      <c r="G69" s="56" t="str">
        <f t="shared" si="7"/>
        <v/>
      </c>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row>
    <row r="70" spans="2:126" s="17" customFormat="1" ht="17.25" hidden="1" customHeight="1">
      <c r="B70" s="27">
        <v>43770</v>
      </c>
      <c r="C70" s="19"/>
      <c r="D70" s="19"/>
      <c r="E70" s="19">
        <f t="shared" si="5"/>
        <v>0</v>
      </c>
      <c r="F70" s="19" t="str">
        <f t="shared" si="6"/>
        <v/>
      </c>
      <c r="G70" s="56" t="str">
        <f t="shared" si="7"/>
        <v/>
      </c>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row>
    <row r="71" spans="2:126" s="17" customFormat="1" ht="17.25" hidden="1" customHeight="1">
      <c r="B71" s="57">
        <v>43800</v>
      </c>
      <c r="C71" s="58"/>
      <c r="D71" s="58"/>
      <c r="E71" s="58">
        <f t="shared" si="5"/>
        <v>0</v>
      </c>
      <c r="F71" s="58" t="str">
        <f t="shared" si="6"/>
        <v/>
      </c>
      <c r="G71" s="59" t="str">
        <f t="shared" si="7"/>
        <v/>
      </c>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row>
    <row r="72" spans="2:126" s="17" customFormat="1" ht="17.25" hidden="1" customHeight="1">
      <c r="B72" s="26">
        <v>43831</v>
      </c>
      <c r="C72" s="60"/>
      <c r="D72" s="60"/>
      <c r="E72" s="60">
        <f t="shared" si="5"/>
        <v>0</v>
      </c>
      <c r="F72" s="60" t="str">
        <f t="shared" si="6"/>
        <v/>
      </c>
      <c r="G72" s="61" t="str">
        <f>IFERROR(TREND($C$66:$C$78,$B$66:$B$78,B72,TRUE),"")</f>
        <v/>
      </c>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row>
    <row r="73" spans="2:126" s="17" customFormat="1" ht="17.25" hidden="1" customHeight="1">
      <c r="B73" s="27">
        <v>43862</v>
      </c>
      <c r="C73" s="19"/>
      <c r="D73" s="19"/>
      <c r="E73" s="19">
        <f t="shared" si="5"/>
        <v>0</v>
      </c>
      <c r="F73" s="19" t="str">
        <f t="shared" si="6"/>
        <v/>
      </c>
      <c r="G73" s="56" t="str">
        <f t="shared" ref="G73:G78" si="8">IFERROR(TREND($C$66:$C$78,$B$66:$B$78,B73,TRUE),"")</f>
        <v/>
      </c>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row>
    <row r="74" spans="2:126" s="17" customFormat="1" ht="17.25" hidden="1" customHeight="1">
      <c r="B74" s="27">
        <v>43891</v>
      </c>
      <c r="C74" s="19"/>
      <c r="D74" s="19"/>
      <c r="E74" s="19">
        <f t="shared" si="5"/>
        <v>0</v>
      </c>
      <c r="F74" s="19" t="str">
        <f t="shared" si="6"/>
        <v/>
      </c>
      <c r="G74" s="56" t="str">
        <f t="shared" si="8"/>
        <v/>
      </c>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row>
    <row r="75" spans="2:126" s="17" customFormat="1" ht="17.25" hidden="1" customHeight="1">
      <c r="B75" s="27">
        <v>43922</v>
      </c>
      <c r="C75" s="19"/>
      <c r="D75" s="19"/>
      <c r="E75" s="19">
        <f t="shared" si="5"/>
        <v>0</v>
      </c>
      <c r="F75" s="19" t="str">
        <f t="shared" si="6"/>
        <v/>
      </c>
      <c r="G75" s="56" t="str">
        <f t="shared" si="8"/>
        <v/>
      </c>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row>
    <row r="76" spans="2:126" s="17" customFormat="1" ht="17.25" hidden="1" customHeight="1">
      <c r="B76" s="27">
        <v>43952</v>
      </c>
      <c r="C76" s="19"/>
      <c r="D76" s="19"/>
      <c r="E76" s="19">
        <f t="shared" si="5"/>
        <v>0</v>
      </c>
      <c r="F76" s="19" t="str">
        <f t="shared" si="6"/>
        <v/>
      </c>
      <c r="G76" s="56" t="str">
        <f t="shared" si="8"/>
        <v/>
      </c>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row>
    <row r="77" spans="2:126" s="17" customFormat="1" ht="17.25" hidden="1" customHeight="1">
      <c r="B77" s="27">
        <v>43983</v>
      </c>
      <c r="C77" s="19"/>
      <c r="D77" s="19"/>
      <c r="E77" s="19">
        <f t="shared" si="5"/>
        <v>0</v>
      </c>
      <c r="F77" s="19" t="str">
        <f t="shared" si="6"/>
        <v/>
      </c>
      <c r="G77" s="56" t="str">
        <f t="shared" si="8"/>
        <v/>
      </c>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row>
    <row r="78" spans="2:126" s="17" customFormat="1" ht="17.25" hidden="1" customHeight="1">
      <c r="B78" s="27">
        <v>44013</v>
      </c>
      <c r="C78" s="48"/>
      <c r="D78" s="19"/>
      <c r="E78" s="19">
        <f t="shared" si="5"/>
        <v>0</v>
      </c>
      <c r="F78" s="19" t="str">
        <f t="shared" si="6"/>
        <v/>
      </c>
      <c r="G78" s="56" t="str">
        <f t="shared" si="8"/>
        <v/>
      </c>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row>
    <row r="79" spans="2:126" s="4" customFormat="1" ht="17.25" hidden="1" customHeight="1">
      <c r="B79" s="28">
        <v>44044</v>
      </c>
      <c r="C79" s="48" t="str">
        <f>IFERROR((#REF!/#REF!*1000000),"")</f>
        <v/>
      </c>
      <c r="D79" s="48">
        <f>SEGUIMIENTO!$D$287</f>
        <v>0</v>
      </c>
      <c r="E79" s="21" t="str">
        <f t="shared" si="5"/>
        <v/>
      </c>
      <c r="F79" s="21" t="str">
        <f t="shared" si="6"/>
        <v/>
      </c>
      <c r="G79" s="47" t="str">
        <f t="shared" ref="G79:G142" si="9">IFERROR(TREND($C$48:$C$58,$B$48:$B$58,B79,TRUE),"")</f>
        <v/>
      </c>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row>
    <row r="80" spans="2:126" s="4" customFormat="1" ht="17.25" hidden="1" customHeight="1">
      <c r="B80" s="28">
        <v>44075</v>
      </c>
      <c r="C80" s="48" t="str">
        <f>IFERROR((#REF!/#REF!*1000000),"")</f>
        <v/>
      </c>
      <c r="D80" s="48">
        <f>SEGUIMIENTO!$D$287</f>
        <v>0</v>
      </c>
      <c r="E80" s="21" t="str">
        <f t="shared" si="5"/>
        <v/>
      </c>
      <c r="F80" s="21" t="str">
        <f t="shared" si="6"/>
        <v/>
      </c>
      <c r="G80" s="47" t="str">
        <f t="shared" si="9"/>
        <v/>
      </c>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row>
    <row r="81" spans="2:126" s="4" customFormat="1" ht="17.25" hidden="1" customHeight="1">
      <c r="B81" s="28">
        <v>44105</v>
      </c>
      <c r="C81" s="48" t="str">
        <f>IFERROR((#REF!/#REF!*1000000),"")</f>
        <v/>
      </c>
      <c r="D81" s="48">
        <f>SEGUIMIENTO!$D$287</f>
        <v>0</v>
      </c>
      <c r="E81" s="21" t="str">
        <f t="shared" si="5"/>
        <v/>
      </c>
      <c r="F81" s="21" t="str">
        <f t="shared" si="6"/>
        <v/>
      </c>
      <c r="G81" s="47" t="str">
        <f t="shared" si="9"/>
        <v/>
      </c>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row>
    <row r="82" spans="2:126" s="11" customFormat="1" ht="15.75" hidden="1" thickBot="1">
      <c r="B82" s="28">
        <v>44136</v>
      </c>
      <c r="C82" s="48" t="str">
        <f>IFERROR((#REF!/#REF!*1000000),"")</f>
        <v/>
      </c>
      <c r="D82" s="48">
        <f>SEGUIMIENTO!$D$287</f>
        <v>0</v>
      </c>
      <c r="E82" s="48" t="str">
        <f t="shared" si="5"/>
        <v/>
      </c>
      <c r="F82" s="32" t="str">
        <f t="shared" si="6"/>
        <v/>
      </c>
      <c r="G82" s="47" t="str">
        <f t="shared" si="9"/>
        <v/>
      </c>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row>
    <row r="83" spans="2:126" s="11" customFormat="1" ht="15.75" hidden="1" thickBot="1">
      <c r="B83" s="30">
        <v>44166</v>
      </c>
      <c r="C83" s="62" t="str">
        <f>IFERROR((#REF!/#REF!*1000000),"")</f>
        <v/>
      </c>
      <c r="D83" s="62">
        <f>SEGUIMIENTO!$D$287</f>
        <v>0</v>
      </c>
      <c r="E83" s="62" t="str">
        <f t="shared" si="5"/>
        <v/>
      </c>
      <c r="F83" s="63" t="str">
        <f t="shared" si="6"/>
        <v/>
      </c>
      <c r="G83" s="64" t="str">
        <f t="shared" si="9"/>
        <v/>
      </c>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row>
    <row r="84" spans="2:126" s="11" customFormat="1" ht="15.75" hidden="1" thickBot="1">
      <c r="B84" s="31">
        <v>44197</v>
      </c>
      <c r="C84" s="65" t="str">
        <f>IFERROR((#REF!/#REF!*1000000),"")</f>
        <v/>
      </c>
      <c r="D84" s="66">
        <f>SEGUIMIENTO!$E$287</f>
        <v>0</v>
      </c>
      <c r="E84" s="65" t="str">
        <f t="shared" si="5"/>
        <v/>
      </c>
      <c r="F84" s="65" t="str">
        <f t="shared" si="6"/>
        <v/>
      </c>
      <c r="G84" s="67" t="str">
        <f t="shared" si="9"/>
        <v/>
      </c>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row>
    <row r="85" spans="2:126" s="11" customFormat="1" ht="15.75" hidden="1" thickBot="1">
      <c r="B85" s="28">
        <v>44228</v>
      </c>
      <c r="C85" s="21" t="str">
        <f>IFERROR((#REF!/#REF!*1000000),"")</f>
        <v/>
      </c>
      <c r="D85" s="48">
        <f>SEGUIMIENTO!$E$287</f>
        <v>0</v>
      </c>
      <c r="E85" s="21" t="str">
        <f t="shared" si="5"/>
        <v/>
      </c>
      <c r="F85" s="21" t="str">
        <f t="shared" si="6"/>
        <v/>
      </c>
      <c r="G85" s="68" t="str">
        <f t="shared" si="9"/>
        <v/>
      </c>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row>
    <row r="86" spans="2:126" s="11" customFormat="1" ht="15.75" hidden="1" thickBot="1">
      <c r="B86" s="28">
        <v>44256</v>
      </c>
      <c r="C86" s="21" t="str">
        <f>IFERROR((#REF!/#REF!*1000000),"")</f>
        <v/>
      </c>
      <c r="D86" s="48">
        <f>SEGUIMIENTO!$E$287</f>
        <v>0</v>
      </c>
      <c r="E86" s="21" t="str">
        <f t="shared" si="5"/>
        <v/>
      </c>
      <c r="F86" s="21" t="str">
        <f t="shared" si="6"/>
        <v/>
      </c>
      <c r="G86" s="68" t="str">
        <f t="shared" si="9"/>
        <v/>
      </c>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row>
    <row r="87" spans="2:126" s="11" customFormat="1" ht="15.75" hidden="1" thickBot="1">
      <c r="B87" s="28">
        <v>44287</v>
      </c>
      <c r="C87" s="21" t="str">
        <f>IFERROR((#REF!/#REF!*1000000),"")</f>
        <v/>
      </c>
      <c r="D87" s="48">
        <f>SEGUIMIENTO!$E$287</f>
        <v>0</v>
      </c>
      <c r="E87" s="21" t="str">
        <f t="shared" si="5"/>
        <v/>
      </c>
      <c r="F87" s="21" t="str">
        <f t="shared" si="6"/>
        <v/>
      </c>
      <c r="G87" s="68" t="str">
        <f t="shared" si="9"/>
        <v/>
      </c>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row>
    <row r="88" spans="2:126" s="11" customFormat="1" ht="15.75" hidden="1" thickBot="1">
      <c r="B88" s="28">
        <v>44317</v>
      </c>
      <c r="C88" s="21" t="str">
        <f>IFERROR((#REF!/#REF!*1000000),"")</f>
        <v/>
      </c>
      <c r="D88" s="48">
        <f>SEGUIMIENTO!$E$287</f>
        <v>0</v>
      </c>
      <c r="E88" s="21" t="str">
        <f t="shared" si="5"/>
        <v/>
      </c>
      <c r="F88" s="21" t="str">
        <f t="shared" si="6"/>
        <v/>
      </c>
      <c r="G88" s="68" t="str">
        <f t="shared" si="9"/>
        <v/>
      </c>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row>
    <row r="89" spans="2:126" s="11" customFormat="1" ht="15.75" hidden="1" thickBot="1">
      <c r="B89" s="28">
        <v>44348</v>
      </c>
      <c r="C89" s="21" t="str">
        <f>IFERROR((#REF!/#REF!*1000000),"")</f>
        <v/>
      </c>
      <c r="D89" s="48">
        <f>SEGUIMIENTO!$E$287</f>
        <v>0</v>
      </c>
      <c r="E89" s="21" t="str">
        <f t="shared" si="5"/>
        <v/>
      </c>
      <c r="F89" s="21" t="str">
        <f t="shared" si="6"/>
        <v/>
      </c>
      <c r="G89" s="68" t="str">
        <f t="shared" si="9"/>
        <v/>
      </c>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row>
    <row r="90" spans="2:126" s="11" customFormat="1" ht="15.75" hidden="1" thickBot="1">
      <c r="B90" s="28">
        <v>44378</v>
      </c>
      <c r="C90" s="21" t="str">
        <f>IFERROR((#REF!/#REF!*1000000),"")</f>
        <v/>
      </c>
      <c r="D90" s="48">
        <f>SEGUIMIENTO!$E$287</f>
        <v>0</v>
      </c>
      <c r="E90" s="21" t="str">
        <f t="shared" si="5"/>
        <v/>
      </c>
      <c r="F90" s="21" t="str">
        <f t="shared" si="6"/>
        <v/>
      </c>
      <c r="G90" s="68" t="str">
        <f t="shared" si="9"/>
        <v/>
      </c>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row>
    <row r="91" spans="2:126" s="11" customFormat="1" ht="15.75" hidden="1" thickBot="1">
      <c r="B91" s="28">
        <v>44409</v>
      </c>
      <c r="C91" s="21" t="str">
        <f>IFERROR((#REF!/#REF!*1000000),"")</f>
        <v/>
      </c>
      <c r="D91" s="48">
        <f>SEGUIMIENTO!$E$287</f>
        <v>0</v>
      </c>
      <c r="E91" s="21" t="str">
        <f t="shared" si="5"/>
        <v/>
      </c>
      <c r="F91" s="21" t="str">
        <f t="shared" si="6"/>
        <v/>
      </c>
      <c r="G91" s="68" t="str">
        <f t="shared" si="9"/>
        <v/>
      </c>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row>
    <row r="92" spans="2:126" s="11" customFormat="1" ht="15.75" hidden="1" thickBot="1">
      <c r="B92" s="28">
        <v>44440</v>
      </c>
      <c r="C92" s="21" t="str">
        <f>IFERROR((#REF!/#REF!*1000000),"")</f>
        <v/>
      </c>
      <c r="D92" s="48">
        <f>SEGUIMIENTO!$E$287</f>
        <v>0</v>
      </c>
      <c r="E92" s="21" t="str">
        <f t="shared" si="5"/>
        <v/>
      </c>
      <c r="F92" s="21" t="str">
        <f t="shared" si="6"/>
        <v/>
      </c>
      <c r="G92" s="68" t="str">
        <f t="shared" si="9"/>
        <v/>
      </c>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row>
    <row r="93" spans="2:126" s="11" customFormat="1" ht="15.75" hidden="1" thickBot="1">
      <c r="B93" s="28">
        <v>44470</v>
      </c>
      <c r="C93" s="21" t="str">
        <f>IFERROR((#REF!/#REF!*1000000),"")</f>
        <v/>
      </c>
      <c r="D93" s="48">
        <f>SEGUIMIENTO!$E$287</f>
        <v>0</v>
      </c>
      <c r="E93" s="21" t="str">
        <f t="shared" si="5"/>
        <v/>
      </c>
      <c r="F93" s="21" t="str">
        <f t="shared" si="6"/>
        <v/>
      </c>
      <c r="G93" s="68" t="str">
        <f t="shared" si="9"/>
        <v/>
      </c>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row>
    <row r="94" spans="2:126" s="11" customFormat="1" ht="15.75" hidden="1" thickBot="1">
      <c r="B94" s="28">
        <v>44501</v>
      </c>
      <c r="C94" s="32" t="str">
        <f>IFERROR((#REF!/#REF!*1000000),"")</f>
        <v/>
      </c>
      <c r="D94" s="48">
        <f>SEGUIMIENTO!$E$287</f>
        <v>0</v>
      </c>
      <c r="E94" s="32" t="str">
        <f t="shared" si="5"/>
        <v/>
      </c>
      <c r="F94" s="32" t="str">
        <f t="shared" si="6"/>
        <v/>
      </c>
      <c r="G94" s="68" t="str">
        <f t="shared" si="9"/>
        <v/>
      </c>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row>
    <row r="95" spans="2:126" s="11" customFormat="1" ht="15.75" hidden="1" thickBot="1">
      <c r="B95" s="33">
        <v>44531</v>
      </c>
      <c r="C95" s="50" t="str">
        <f>IFERROR((#REF!/#REF!*1000000),"")</f>
        <v/>
      </c>
      <c r="D95" s="49">
        <f>SEGUIMIENTO!$E$287</f>
        <v>0</v>
      </c>
      <c r="E95" s="50" t="str">
        <f t="shared" si="5"/>
        <v/>
      </c>
      <c r="F95" s="50" t="str">
        <f t="shared" si="6"/>
        <v/>
      </c>
      <c r="G95" s="69" t="str">
        <f t="shared" si="9"/>
        <v/>
      </c>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row>
    <row r="96" spans="2:126" s="11" customFormat="1" ht="15.75" hidden="1" thickBot="1">
      <c r="B96" s="34">
        <v>44562</v>
      </c>
      <c r="C96" s="54" t="str">
        <f>IFERROR((#REF!/#REF!*1000000),"")</f>
        <v/>
      </c>
      <c r="D96" s="55">
        <f>SEGUIMIENTO!$F$287</f>
        <v>0</v>
      </c>
      <c r="E96" s="54" t="str">
        <f t="shared" si="5"/>
        <v/>
      </c>
      <c r="F96" s="54" t="str">
        <f t="shared" si="6"/>
        <v/>
      </c>
      <c r="G96" s="70" t="str">
        <f t="shared" si="9"/>
        <v/>
      </c>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row>
    <row r="97" spans="2:126" s="11" customFormat="1" ht="15.75" hidden="1" thickBot="1">
      <c r="B97" s="28">
        <v>44593</v>
      </c>
      <c r="C97" s="21" t="str">
        <f>IFERROR((#REF!/#REF!*1000000),"")</f>
        <v/>
      </c>
      <c r="D97" s="48">
        <f>SEGUIMIENTO!$F$287</f>
        <v>0</v>
      </c>
      <c r="E97" s="21" t="str">
        <f t="shared" si="5"/>
        <v/>
      </c>
      <c r="F97" s="21" t="str">
        <f t="shared" si="6"/>
        <v/>
      </c>
      <c r="G97" s="68" t="str">
        <f t="shared" si="9"/>
        <v/>
      </c>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row>
    <row r="98" spans="2:126" s="11" customFormat="1" ht="15.75" hidden="1" thickBot="1">
      <c r="B98" s="28">
        <v>44621</v>
      </c>
      <c r="C98" s="21" t="str">
        <f>IFERROR((#REF!/#REF!*1000000),"")</f>
        <v/>
      </c>
      <c r="D98" s="48">
        <f>SEGUIMIENTO!$F$287</f>
        <v>0</v>
      </c>
      <c r="E98" s="21" t="str">
        <f t="shared" si="5"/>
        <v/>
      </c>
      <c r="F98" s="21" t="str">
        <f t="shared" si="6"/>
        <v/>
      </c>
      <c r="G98" s="68" t="str">
        <f t="shared" si="9"/>
        <v/>
      </c>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row>
    <row r="99" spans="2:126" s="11" customFormat="1" ht="15.75" hidden="1" thickBot="1">
      <c r="B99" s="28">
        <v>44652</v>
      </c>
      <c r="C99" s="21" t="str">
        <f>IFERROR((#REF!/#REF!*1000000),"")</f>
        <v/>
      </c>
      <c r="D99" s="48">
        <f>SEGUIMIENTO!$F$287</f>
        <v>0</v>
      </c>
      <c r="E99" s="21" t="str">
        <f t="shared" si="5"/>
        <v/>
      </c>
      <c r="F99" s="21" t="str">
        <f t="shared" si="6"/>
        <v/>
      </c>
      <c r="G99" s="68" t="str">
        <f t="shared" si="9"/>
        <v/>
      </c>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row>
    <row r="100" spans="2:126" s="11" customFormat="1" ht="15.75" hidden="1" thickBot="1">
      <c r="B100" s="28">
        <v>44682</v>
      </c>
      <c r="C100" s="21" t="str">
        <f>IFERROR((#REF!/#REF!*1000000),"")</f>
        <v/>
      </c>
      <c r="D100" s="48">
        <f>SEGUIMIENTO!$F$287</f>
        <v>0</v>
      </c>
      <c r="E100" s="21" t="str">
        <f t="shared" si="5"/>
        <v/>
      </c>
      <c r="F100" s="21" t="str">
        <f t="shared" si="6"/>
        <v/>
      </c>
      <c r="G100" s="68" t="str">
        <f t="shared" si="9"/>
        <v/>
      </c>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row>
    <row r="101" spans="2:126" s="11" customFormat="1" ht="15.75" hidden="1" thickBot="1">
      <c r="B101" s="28">
        <v>44713</v>
      </c>
      <c r="C101" s="21" t="str">
        <f>IFERROR((#REF!/#REF!*1000000),"")</f>
        <v/>
      </c>
      <c r="D101" s="48">
        <f>SEGUIMIENTO!$F$287</f>
        <v>0</v>
      </c>
      <c r="E101" s="21" t="str">
        <f t="shared" si="5"/>
        <v/>
      </c>
      <c r="F101" s="21" t="str">
        <f t="shared" si="6"/>
        <v/>
      </c>
      <c r="G101" s="68" t="str">
        <f t="shared" si="9"/>
        <v/>
      </c>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row>
    <row r="102" spans="2:126" s="11" customFormat="1" ht="15.75" hidden="1" thickBot="1">
      <c r="B102" s="28">
        <v>44743</v>
      </c>
      <c r="C102" s="21" t="str">
        <f>IFERROR((#REF!/#REF!*1000000),"")</f>
        <v/>
      </c>
      <c r="D102" s="48">
        <f>SEGUIMIENTO!$F$287</f>
        <v>0</v>
      </c>
      <c r="E102" s="21" t="str">
        <f t="shared" si="5"/>
        <v/>
      </c>
      <c r="F102" s="21" t="str">
        <f t="shared" si="6"/>
        <v/>
      </c>
      <c r="G102" s="68" t="str">
        <f t="shared" si="9"/>
        <v/>
      </c>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row>
    <row r="103" spans="2:126" s="11" customFormat="1" ht="15.75" hidden="1" thickBot="1">
      <c r="B103" s="28">
        <v>44774</v>
      </c>
      <c r="C103" s="21" t="str">
        <f>IFERROR((#REF!/#REF!*1000000),"")</f>
        <v/>
      </c>
      <c r="D103" s="48">
        <f>SEGUIMIENTO!$F$287</f>
        <v>0</v>
      </c>
      <c r="E103" s="21" t="str">
        <f t="shared" si="5"/>
        <v/>
      </c>
      <c r="F103" s="21" t="str">
        <f t="shared" si="6"/>
        <v/>
      </c>
      <c r="G103" s="68" t="str">
        <f t="shared" si="9"/>
        <v/>
      </c>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row>
    <row r="104" spans="2:126" s="11" customFormat="1" ht="15.75" hidden="1" thickBot="1">
      <c r="B104" s="28">
        <v>44805</v>
      </c>
      <c r="C104" s="21" t="str">
        <f>IFERROR((#REF!/#REF!*1000000),"")</f>
        <v/>
      </c>
      <c r="D104" s="48">
        <f>SEGUIMIENTO!$F$287</f>
        <v>0</v>
      </c>
      <c r="E104" s="21" t="str">
        <f t="shared" si="5"/>
        <v/>
      </c>
      <c r="F104" s="21" t="str">
        <f t="shared" si="6"/>
        <v/>
      </c>
      <c r="G104" s="68" t="str">
        <f t="shared" si="9"/>
        <v/>
      </c>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row>
    <row r="105" spans="2:126" s="11" customFormat="1" ht="15.75" hidden="1" thickBot="1">
      <c r="B105" s="28">
        <v>44835</v>
      </c>
      <c r="C105" s="21" t="str">
        <f>IFERROR((#REF!/#REF!*1000000),"")</f>
        <v/>
      </c>
      <c r="D105" s="48">
        <f>SEGUIMIENTO!$F$287</f>
        <v>0</v>
      </c>
      <c r="E105" s="21" t="str">
        <f t="shared" si="5"/>
        <v/>
      </c>
      <c r="F105" s="21" t="str">
        <f t="shared" si="6"/>
        <v/>
      </c>
      <c r="G105" s="68" t="str">
        <f t="shared" si="9"/>
        <v/>
      </c>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row>
    <row r="106" spans="2:126" s="11" customFormat="1" ht="15.75" hidden="1" thickBot="1">
      <c r="B106" s="28">
        <v>44866</v>
      </c>
      <c r="C106" s="32" t="str">
        <f>IFERROR((#REF!/#REF!*1000000),"")</f>
        <v/>
      </c>
      <c r="D106" s="48">
        <f>SEGUIMIENTO!$F$287</f>
        <v>0</v>
      </c>
      <c r="E106" s="32" t="str">
        <f t="shared" si="5"/>
        <v/>
      </c>
      <c r="F106" s="32" t="str">
        <f t="shared" si="6"/>
        <v/>
      </c>
      <c r="G106" s="68" t="str">
        <f t="shared" si="9"/>
        <v/>
      </c>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row>
    <row r="107" spans="2:126" s="11" customFormat="1" ht="15.75" hidden="1" thickBot="1">
      <c r="B107" s="33">
        <v>44896</v>
      </c>
      <c r="C107" s="50" t="str">
        <f>IFERROR((#REF!/#REF!*1000000),"")</f>
        <v/>
      </c>
      <c r="D107" s="49">
        <f>SEGUIMIENTO!$F$287</f>
        <v>0</v>
      </c>
      <c r="E107" s="50" t="str">
        <f t="shared" si="5"/>
        <v/>
      </c>
      <c r="F107" s="50" t="str">
        <f t="shared" si="6"/>
        <v/>
      </c>
      <c r="G107" s="69" t="str">
        <f t="shared" si="9"/>
        <v/>
      </c>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row>
    <row r="108" spans="2:126" s="11" customFormat="1" ht="15.75" hidden="1" thickBot="1">
      <c r="B108" s="34">
        <v>44927</v>
      </c>
      <c r="C108" s="54" t="str">
        <f>IFERROR((#REF!/#REF!*1000000),"")</f>
        <v/>
      </c>
      <c r="D108" s="55">
        <f>SEGUIMIENTO!$G$287</f>
        <v>0</v>
      </c>
      <c r="E108" s="54" t="str">
        <f t="shared" si="5"/>
        <v/>
      </c>
      <c r="F108" s="54" t="str">
        <f t="shared" si="6"/>
        <v/>
      </c>
      <c r="G108" s="70" t="str">
        <f t="shared" si="9"/>
        <v/>
      </c>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row>
    <row r="109" spans="2:126" s="11" customFormat="1" ht="15.75" hidden="1" thickBot="1">
      <c r="B109" s="28">
        <v>44958</v>
      </c>
      <c r="C109" s="21" t="str">
        <f>IFERROR((#REF!/#REF!*1000000),"")</f>
        <v/>
      </c>
      <c r="D109" s="48">
        <f>SEGUIMIENTO!$G$287</f>
        <v>0</v>
      </c>
      <c r="E109" s="21" t="str">
        <f t="shared" si="5"/>
        <v/>
      </c>
      <c r="F109" s="21" t="str">
        <f t="shared" si="6"/>
        <v/>
      </c>
      <c r="G109" s="68" t="str">
        <f t="shared" si="9"/>
        <v/>
      </c>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row>
    <row r="110" spans="2:126" s="11" customFormat="1" ht="15.75" hidden="1" thickBot="1">
      <c r="B110" s="28">
        <v>44986</v>
      </c>
      <c r="C110" s="21" t="str">
        <f>IFERROR((#REF!/#REF!*1000000),"")</f>
        <v/>
      </c>
      <c r="D110" s="48">
        <f>SEGUIMIENTO!$G$287</f>
        <v>0</v>
      </c>
      <c r="E110" s="21" t="str">
        <f t="shared" si="5"/>
        <v/>
      </c>
      <c r="F110" s="21" t="str">
        <f t="shared" si="6"/>
        <v/>
      </c>
      <c r="G110" s="68" t="str">
        <f t="shared" si="9"/>
        <v/>
      </c>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row>
    <row r="111" spans="2:126" s="11" customFormat="1" ht="15.75" hidden="1" thickBot="1">
      <c r="B111" s="28">
        <v>45017</v>
      </c>
      <c r="C111" s="21" t="str">
        <f>IFERROR((#REF!/#REF!*1000000),"")</f>
        <v/>
      </c>
      <c r="D111" s="48">
        <f>SEGUIMIENTO!$G$287</f>
        <v>0</v>
      </c>
      <c r="E111" s="21" t="str">
        <f t="shared" si="5"/>
        <v/>
      </c>
      <c r="F111" s="21" t="str">
        <f t="shared" si="6"/>
        <v/>
      </c>
      <c r="G111" s="68" t="str">
        <f t="shared" si="9"/>
        <v/>
      </c>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row>
    <row r="112" spans="2:126" s="11" customFormat="1" ht="15.75" hidden="1" thickBot="1">
      <c r="B112" s="28">
        <v>45047</v>
      </c>
      <c r="C112" s="21" t="str">
        <f>IFERROR((#REF!/#REF!*1000000),"")</f>
        <v/>
      </c>
      <c r="D112" s="48">
        <f>SEGUIMIENTO!$G$287</f>
        <v>0</v>
      </c>
      <c r="E112" s="21" t="str">
        <f t="shared" si="5"/>
        <v/>
      </c>
      <c r="F112" s="21" t="str">
        <f t="shared" si="6"/>
        <v/>
      </c>
      <c r="G112" s="68" t="str">
        <f t="shared" si="9"/>
        <v/>
      </c>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row>
    <row r="113" spans="2:126" s="11" customFormat="1" ht="15.75" hidden="1" thickBot="1">
      <c r="B113" s="28">
        <v>45078</v>
      </c>
      <c r="C113" s="21" t="str">
        <f>IFERROR((#REF!/#REF!*1000000),"")</f>
        <v/>
      </c>
      <c r="D113" s="48">
        <f>SEGUIMIENTO!$G$287</f>
        <v>0</v>
      </c>
      <c r="E113" s="21" t="str">
        <f t="shared" si="5"/>
        <v/>
      </c>
      <c r="F113" s="21" t="str">
        <f t="shared" si="6"/>
        <v/>
      </c>
      <c r="G113" s="68" t="str">
        <f t="shared" si="9"/>
        <v/>
      </c>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row>
    <row r="114" spans="2:126" s="11" customFormat="1" ht="15.75" hidden="1" thickBot="1">
      <c r="B114" s="28">
        <v>45108</v>
      </c>
      <c r="C114" s="21" t="str">
        <f>IFERROR((#REF!/#REF!*1000000),"")</f>
        <v/>
      </c>
      <c r="D114" s="48">
        <f>SEGUIMIENTO!$G$287</f>
        <v>0</v>
      </c>
      <c r="E114" s="21" t="str">
        <f t="shared" si="5"/>
        <v/>
      </c>
      <c r="F114" s="21" t="str">
        <f t="shared" si="6"/>
        <v/>
      </c>
      <c r="G114" s="68" t="str">
        <f t="shared" si="9"/>
        <v/>
      </c>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row>
    <row r="115" spans="2:126" s="11" customFormat="1" ht="15.75" hidden="1" thickBot="1">
      <c r="B115" s="28">
        <v>45139</v>
      </c>
      <c r="C115" s="21" t="str">
        <f>IFERROR((#REF!/#REF!*1000000),"")</f>
        <v/>
      </c>
      <c r="D115" s="48">
        <f>SEGUIMIENTO!$G$287</f>
        <v>0</v>
      </c>
      <c r="E115" s="21" t="str">
        <f t="shared" si="5"/>
        <v/>
      </c>
      <c r="F115" s="21" t="str">
        <f t="shared" si="6"/>
        <v/>
      </c>
      <c r="G115" s="68" t="str">
        <f t="shared" si="9"/>
        <v/>
      </c>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row>
    <row r="116" spans="2:126" s="11" customFormat="1" ht="15.75" hidden="1" thickBot="1">
      <c r="B116" s="28">
        <v>45170</v>
      </c>
      <c r="C116" s="21" t="str">
        <f>IFERROR((#REF!/#REF!*1000000),"")</f>
        <v/>
      </c>
      <c r="D116" s="48">
        <f>SEGUIMIENTO!$G$287</f>
        <v>0</v>
      </c>
      <c r="E116" s="21" t="str">
        <f t="shared" si="5"/>
        <v/>
      </c>
      <c r="F116" s="21" t="str">
        <f t="shared" si="6"/>
        <v/>
      </c>
      <c r="G116" s="68" t="str">
        <f t="shared" si="9"/>
        <v/>
      </c>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row>
    <row r="117" spans="2:126" s="11" customFormat="1" ht="15.75" hidden="1" thickBot="1">
      <c r="B117" s="28">
        <v>45200</v>
      </c>
      <c r="C117" s="21" t="str">
        <f>IFERROR((#REF!/#REF!*1000000),"")</f>
        <v/>
      </c>
      <c r="D117" s="48">
        <f>SEGUIMIENTO!$G$287</f>
        <v>0</v>
      </c>
      <c r="E117" s="21" t="str">
        <f t="shared" si="5"/>
        <v/>
      </c>
      <c r="F117" s="21" t="str">
        <f t="shared" si="6"/>
        <v/>
      </c>
      <c r="G117" s="68" t="str">
        <f t="shared" si="9"/>
        <v/>
      </c>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row>
    <row r="118" spans="2:126" s="11" customFormat="1" ht="15.75" hidden="1" thickBot="1">
      <c r="B118" s="28">
        <v>45231</v>
      </c>
      <c r="C118" s="32" t="str">
        <f>IFERROR((#REF!/#REF!*1000000),"")</f>
        <v/>
      </c>
      <c r="D118" s="48">
        <f>SEGUIMIENTO!$G$287</f>
        <v>0</v>
      </c>
      <c r="E118" s="32" t="str">
        <f t="shared" si="5"/>
        <v/>
      </c>
      <c r="F118" s="32" t="str">
        <f t="shared" si="6"/>
        <v/>
      </c>
      <c r="G118" s="68" t="str">
        <f t="shared" si="9"/>
        <v/>
      </c>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c r="CX118" s="5"/>
      <c r="CY118" s="5"/>
      <c r="CZ118" s="5"/>
      <c r="DA118" s="5"/>
      <c r="DB118" s="5"/>
      <c r="DC118" s="5"/>
      <c r="DD118" s="5"/>
      <c r="DE118" s="5"/>
      <c r="DF118" s="5"/>
      <c r="DG118" s="5"/>
      <c r="DH118" s="5"/>
      <c r="DI118" s="5"/>
      <c r="DJ118" s="5"/>
      <c r="DK118" s="5"/>
      <c r="DL118" s="5"/>
      <c r="DM118" s="5"/>
      <c r="DN118" s="5"/>
      <c r="DO118" s="5"/>
      <c r="DP118" s="5"/>
      <c r="DQ118" s="5"/>
      <c r="DR118" s="5"/>
      <c r="DS118" s="5"/>
      <c r="DT118" s="5"/>
      <c r="DU118" s="5"/>
      <c r="DV118" s="5"/>
    </row>
    <row r="119" spans="2:126" s="11" customFormat="1" ht="15.75" hidden="1" thickBot="1">
      <c r="B119" s="30">
        <v>45261</v>
      </c>
      <c r="C119" s="63" t="str">
        <f>IFERROR((#REF!/#REF!*1000000),"")</f>
        <v/>
      </c>
      <c r="D119" s="62">
        <f>SEGUIMIENTO!$G$287</f>
        <v>0</v>
      </c>
      <c r="E119" s="63" t="str">
        <f t="shared" si="5"/>
        <v/>
      </c>
      <c r="F119" s="63" t="str">
        <f t="shared" si="6"/>
        <v/>
      </c>
      <c r="G119" s="71" t="str">
        <f t="shared" si="9"/>
        <v/>
      </c>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c r="CX119" s="5"/>
      <c r="CY119" s="5"/>
      <c r="CZ119" s="5"/>
      <c r="DA119" s="5"/>
      <c r="DB119" s="5"/>
      <c r="DC119" s="5"/>
      <c r="DD119" s="5"/>
      <c r="DE119" s="5"/>
      <c r="DF119" s="5"/>
      <c r="DG119" s="5"/>
      <c r="DH119" s="5"/>
      <c r="DI119" s="5"/>
      <c r="DJ119" s="5"/>
      <c r="DK119" s="5"/>
      <c r="DL119" s="5"/>
      <c r="DM119" s="5"/>
      <c r="DN119" s="5"/>
      <c r="DO119" s="5"/>
      <c r="DP119" s="5"/>
      <c r="DQ119" s="5"/>
      <c r="DR119" s="5"/>
      <c r="DS119" s="5"/>
      <c r="DT119" s="5"/>
      <c r="DU119" s="5"/>
      <c r="DV119" s="5"/>
    </row>
    <row r="120" spans="2:126" s="11" customFormat="1" ht="15.75" hidden="1" thickBot="1">
      <c r="B120" s="34">
        <v>45292</v>
      </c>
      <c r="C120" s="54" t="str">
        <f>IFERROR((#REF!/#REF!*1000000),"")</f>
        <v/>
      </c>
      <c r="D120" s="55">
        <f>SEGUIMIENTO!$H$287</f>
        <v>0</v>
      </c>
      <c r="E120" s="54" t="str">
        <f t="shared" si="5"/>
        <v/>
      </c>
      <c r="F120" s="54" t="str">
        <f t="shared" si="6"/>
        <v/>
      </c>
      <c r="G120" s="70" t="str">
        <f t="shared" si="9"/>
        <v/>
      </c>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c r="CX120" s="5"/>
      <c r="CY120" s="5"/>
      <c r="CZ120" s="5"/>
      <c r="DA120" s="5"/>
      <c r="DB120" s="5"/>
      <c r="DC120" s="5"/>
      <c r="DD120" s="5"/>
      <c r="DE120" s="5"/>
      <c r="DF120" s="5"/>
      <c r="DG120" s="5"/>
      <c r="DH120" s="5"/>
      <c r="DI120" s="5"/>
      <c r="DJ120" s="5"/>
      <c r="DK120" s="5"/>
      <c r="DL120" s="5"/>
      <c r="DM120" s="5"/>
      <c r="DN120" s="5"/>
      <c r="DO120" s="5"/>
      <c r="DP120" s="5"/>
      <c r="DQ120" s="5"/>
      <c r="DR120" s="5"/>
      <c r="DS120" s="5"/>
      <c r="DT120" s="5"/>
      <c r="DU120" s="5"/>
      <c r="DV120" s="5"/>
    </row>
    <row r="121" spans="2:126" s="11" customFormat="1" ht="15.75" hidden="1" thickBot="1">
      <c r="B121" s="28">
        <v>45323</v>
      </c>
      <c r="C121" s="21" t="str">
        <f>IFERROR((#REF!/#REF!*1000000),"")</f>
        <v/>
      </c>
      <c r="D121" s="48">
        <f>SEGUIMIENTO!$H$287</f>
        <v>0</v>
      </c>
      <c r="E121" s="21" t="str">
        <f t="shared" si="5"/>
        <v/>
      </c>
      <c r="F121" s="21" t="str">
        <f t="shared" si="6"/>
        <v/>
      </c>
      <c r="G121" s="68" t="str">
        <f t="shared" si="9"/>
        <v/>
      </c>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c r="CX121" s="5"/>
      <c r="CY121" s="5"/>
      <c r="CZ121" s="5"/>
      <c r="DA121" s="5"/>
      <c r="DB121" s="5"/>
      <c r="DC121" s="5"/>
      <c r="DD121" s="5"/>
      <c r="DE121" s="5"/>
      <c r="DF121" s="5"/>
      <c r="DG121" s="5"/>
      <c r="DH121" s="5"/>
      <c r="DI121" s="5"/>
      <c r="DJ121" s="5"/>
      <c r="DK121" s="5"/>
      <c r="DL121" s="5"/>
      <c r="DM121" s="5"/>
      <c r="DN121" s="5"/>
      <c r="DO121" s="5"/>
      <c r="DP121" s="5"/>
      <c r="DQ121" s="5"/>
      <c r="DR121" s="5"/>
      <c r="DS121" s="5"/>
      <c r="DT121" s="5"/>
      <c r="DU121" s="5"/>
      <c r="DV121" s="5"/>
    </row>
    <row r="122" spans="2:126" s="11" customFormat="1" ht="15.75" hidden="1" thickBot="1">
      <c r="B122" s="28">
        <v>45352</v>
      </c>
      <c r="C122" s="21" t="str">
        <f>IFERROR((#REF!/#REF!*1000000),"")</f>
        <v/>
      </c>
      <c r="D122" s="48">
        <f>SEGUIMIENTO!$H$287</f>
        <v>0</v>
      </c>
      <c r="E122" s="21" t="str">
        <f t="shared" si="5"/>
        <v/>
      </c>
      <c r="F122" s="21" t="str">
        <f t="shared" si="6"/>
        <v/>
      </c>
      <c r="G122" s="68" t="str">
        <f t="shared" si="9"/>
        <v/>
      </c>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row>
    <row r="123" spans="2:126" s="11" customFormat="1" ht="15.75" hidden="1" thickBot="1">
      <c r="B123" s="28">
        <v>45383</v>
      </c>
      <c r="C123" s="21" t="str">
        <f>IFERROR((#REF!/#REF!*1000000),"")</f>
        <v/>
      </c>
      <c r="D123" s="48">
        <f>SEGUIMIENTO!$H$287</f>
        <v>0</v>
      </c>
      <c r="E123" s="21" t="str">
        <f t="shared" si="5"/>
        <v/>
      </c>
      <c r="F123" s="21" t="str">
        <f t="shared" si="6"/>
        <v/>
      </c>
      <c r="G123" s="68" t="str">
        <f t="shared" si="9"/>
        <v/>
      </c>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row>
    <row r="124" spans="2:126" s="11" customFormat="1" ht="15.75" hidden="1" thickBot="1">
      <c r="B124" s="28">
        <v>45413</v>
      </c>
      <c r="C124" s="21" t="str">
        <f>IFERROR((#REF!/#REF!*1000000),"")</f>
        <v/>
      </c>
      <c r="D124" s="48">
        <f>SEGUIMIENTO!$H$287</f>
        <v>0</v>
      </c>
      <c r="E124" s="21" t="str">
        <f t="shared" ref="E124:E179" si="10">IFERROR(IF(C124&gt;=D124,C124,""),"")</f>
        <v/>
      </c>
      <c r="F124" s="21" t="str">
        <f t="shared" ref="F124:F179" si="11">IFERROR(IF(C124&lt;D124,C124,""),"")</f>
        <v/>
      </c>
      <c r="G124" s="68" t="str">
        <f t="shared" si="9"/>
        <v/>
      </c>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row>
    <row r="125" spans="2:126" s="11" customFormat="1" ht="15.75" hidden="1" thickBot="1">
      <c r="B125" s="28">
        <v>45444</v>
      </c>
      <c r="C125" s="21" t="str">
        <f>IFERROR((#REF!/#REF!*1000000),"")</f>
        <v/>
      </c>
      <c r="D125" s="48">
        <f>SEGUIMIENTO!$H$287</f>
        <v>0</v>
      </c>
      <c r="E125" s="21" t="str">
        <f t="shared" si="10"/>
        <v/>
      </c>
      <c r="F125" s="21" t="str">
        <f t="shared" si="11"/>
        <v/>
      </c>
      <c r="G125" s="68" t="str">
        <f t="shared" si="9"/>
        <v/>
      </c>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5"/>
      <c r="DA125" s="5"/>
      <c r="DB125" s="5"/>
      <c r="DC125" s="5"/>
      <c r="DD125" s="5"/>
      <c r="DE125" s="5"/>
      <c r="DF125" s="5"/>
      <c r="DG125" s="5"/>
      <c r="DH125" s="5"/>
      <c r="DI125" s="5"/>
      <c r="DJ125" s="5"/>
      <c r="DK125" s="5"/>
      <c r="DL125" s="5"/>
      <c r="DM125" s="5"/>
      <c r="DN125" s="5"/>
      <c r="DO125" s="5"/>
      <c r="DP125" s="5"/>
      <c r="DQ125" s="5"/>
      <c r="DR125" s="5"/>
      <c r="DS125" s="5"/>
      <c r="DT125" s="5"/>
      <c r="DU125" s="5"/>
      <c r="DV125" s="5"/>
    </row>
    <row r="126" spans="2:126" s="11" customFormat="1" ht="15.75" hidden="1" thickBot="1">
      <c r="B126" s="28">
        <v>45474</v>
      </c>
      <c r="C126" s="21" t="str">
        <f>IFERROR((#REF!/#REF!*1000000),"")</f>
        <v/>
      </c>
      <c r="D126" s="48">
        <f>SEGUIMIENTO!$H$287</f>
        <v>0</v>
      </c>
      <c r="E126" s="21" t="str">
        <f t="shared" si="10"/>
        <v/>
      </c>
      <c r="F126" s="21" t="str">
        <f t="shared" si="11"/>
        <v/>
      </c>
      <c r="G126" s="68" t="str">
        <f t="shared" si="9"/>
        <v/>
      </c>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5"/>
      <c r="DA126" s="5"/>
      <c r="DB126" s="5"/>
      <c r="DC126" s="5"/>
      <c r="DD126" s="5"/>
      <c r="DE126" s="5"/>
      <c r="DF126" s="5"/>
      <c r="DG126" s="5"/>
      <c r="DH126" s="5"/>
      <c r="DI126" s="5"/>
      <c r="DJ126" s="5"/>
      <c r="DK126" s="5"/>
      <c r="DL126" s="5"/>
      <c r="DM126" s="5"/>
      <c r="DN126" s="5"/>
      <c r="DO126" s="5"/>
      <c r="DP126" s="5"/>
      <c r="DQ126" s="5"/>
      <c r="DR126" s="5"/>
      <c r="DS126" s="5"/>
      <c r="DT126" s="5"/>
      <c r="DU126" s="5"/>
      <c r="DV126" s="5"/>
    </row>
    <row r="127" spans="2:126" s="11" customFormat="1" ht="15.75" hidden="1" thickBot="1">
      <c r="B127" s="28">
        <v>45505</v>
      </c>
      <c r="C127" s="21" t="str">
        <f>IFERROR((#REF!/#REF!*1000000),"")</f>
        <v/>
      </c>
      <c r="D127" s="48">
        <f>SEGUIMIENTO!$H$287</f>
        <v>0</v>
      </c>
      <c r="E127" s="21" t="str">
        <f t="shared" si="10"/>
        <v/>
      </c>
      <c r="F127" s="21" t="str">
        <f t="shared" si="11"/>
        <v/>
      </c>
      <c r="G127" s="68" t="str">
        <f t="shared" si="9"/>
        <v/>
      </c>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5"/>
      <c r="DA127" s="5"/>
      <c r="DB127" s="5"/>
      <c r="DC127" s="5"/>
      <c r="DD127" s="5"/>
      <c r="DE127" s="5"/>
      <c r="DF127" s="5"/>
      <c r="DG127" s="5"/>
      <c r="DH127" s="5"/>
      <c r="DI127" s="5"/>
      <c r="DJ127" s="5"/>
      <c r="DK127" s="5"/>
      <c r="DL127" s="5"/>
      <c r="DM127" s="5"/>
      <c r="DN127" s="5"/>
      <c r="DO127" s="5"/>
      <c r="DP127" s="5"/>
      <c r="DQ127" s="5"/>
      <c r="DR127" s="5"/>
      <c r="DS127" s="5"/>
      <c r="DT127" s="5"/>
      <c r="DU127" s="5"/>
      <c r="DV127" s="5"/>
    </row>
    <row r="128" spans="2:126" s="11" customFormat="1" ht="15.75" hidden="1" thickBot="1">
      <c r="B128" s="28">
        <v>45536</v>
      </c>
      <c r="C128" s="21" t="str">
        <f>IFERROR((#REF!/#REF!*1000000),"")</f>
        <v/>
      </c>
      <c r="D128" s="48">
        <f>SEGUIMIENTO!$H$287</f>
        <v>0</v>
      </c>
      <c r="E128" s="21" t="str">
        <f t="shared" si="10"/>
        <v/>
      </c>
      <c r="F128" s="21" t="str">
        <f t="shared" si="11"/>
        <v/>
      </c>
      <c r="G128" s="68" t="str">
        <f t="shared" si="9"/>
        <v/>
      </c>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c r="CX128" s="5"/>
      <c r="CY128" s="5"/>
      <c r="CZ128" s="5"/>
      <c r="DA128" s="5"/>
      <c r="DB128" s="5"/>
      <c r="DC128" s="5"/>
      <c r="DD128" s="5"/>
      <c r="DE128" s="5"/>
      <c r="DF128" s="5"/>
      <c r="DG128" s="5"/>
      <c r="DH128" s="5"/>
      <c r="DI128" s="5"/>
      <c r="DJ128" s="5"/>
      <c r="DK128" s="5"/>
      <c r="DL128" s="5"/>
      <c r="DM128" s="5"/>
      <c r="DN128" s="5"/>
      <c r="DO128" s="5"/>
      <c r="DP128" s="5"/>
      <c r="DQ128" s="5"/>
      <c r="DR128" s="5"/>
      <c r="DS128" s="5"/>
      <c r="DT128" s="5"/>
      <c r="DU128" s="5"/>
      <c r="DV128" s="5"/>
    </row>
    <row r="129" spans="1:126" s="11" customFormat="1" ht="15.75" hidden="1" thickBot="1">
      <c r="B129" s="28">
        <v>45566</v>
      </c>
      <c r="C129" s="21" t="str">
        <f>IFERROR((#REF!/#REF!*1000000),"")</f>
        <v/>
      </c>
      <c r="D129" s="48">
        <f>SEGUIMIENTO!$H$287</f>
        <v>0</v>
      </c>
      <c r="E129" s="21" t="str">
        <f t="shared" si="10"/>
        <v/>
      </c>
      <c r="F129" s="21" t="str">
        <f t="shared" si="11"/>
        <v/>
      </c>
      <c r="G129" s="68" t="str">
        <f t="shared" si="9"/>
        <v/>
      </c>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c r="CX129" s="5"/>
      <c r="CY129" s="5"/>
      <c r="CZ129" s="5"/>
      <c r="DA129" s="5"/>
      <c r="DB129" s="5"/>
      <c r="DC129" s="5"/>
      <c r="DD129" s="5"/>
      <c r="DE129" s="5"/>
      <c r="DF129" s="5"/>
      <c r="DG129" s="5"/>
      <c r="DH129" s="5"/>
      <c r="DI129" s="5"/>
      <c r="DJ129" s="5"/>
      <c r="DK129" s="5"/>
      <c r="DL129" s="5"/>
      <c r="DM129" s="5"/>
      <c r="DN129" s="5"/>
      <c r="DO129" s="5"/>
      <c r="DP129" s="5"/>
      <c r="DQ129" s="5"/>
      <c r="DR129" s="5"/>
      <c r="DS129" s="5"/>
      <c r="DT129" s="5"/>
      <c r="DU129" s="5"/>
      <c r="DV129" s="5"/>
    </row>
    <row r="130" spans="1:126" s="11" customFormat="1" ht="15.75" hidden="1" thickBot="1">
      <c r="B130" s="28">
        <v>45597</v>
      </c>
      <c r="C130" s="32" t="str">
        <f>IFERROR((#REF!/#REF!*1000000),"")</f>
        <v/>
      </c>
      <c r="D130" s="48">
        <f>SEGUIMIENTO!$H$287</f>
        <v>0</v>
      </c>
      <c r="E130" s="32" t="str">
        <f t="shared" si="10"/>
        <v/>
      </c>
      <c r="F130" s="32" t="str">
        <f t="shared" si="11"/>
        <v/>
      </c>
      <c r="G130" s="68" t="str">
        <f t="shared" si="9"/>
        <v/>
      </c>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c r="CX130" s="5"/>
      <c r="CY130" s="5"/>
      <c r="CZ130" s="5"/>
      <c r="DA130" s="5"/>
      <c r="DB130" s="5"/>
      <c r="DC130" s="5"/>
      <c r="DD130" s="5"/>
      <c r="DE130" s="5"/>
      <c r="DF130" s="5"/>
      <c r="DG130" s="5"/>
      <c r="DH130" s="5"/>
      <c r="DI130" s="5"/>
      <c r="DJ130" s="5"/>
      <c r="DK130" s="5"/>
      <c r="DL130" s="5"/>
      <c r="DM130" s="5"/>
      <c r="DN130" s="5"/>
      <c r="DO130" s="5"/>
      <c r="DP130" s="5"/>
      <c r="DQ130" s="5"/>
      <c r="DR130" s="5"/>
      <c r="DS130" s="5"/>
      <c r="DT130" s="5"/>
      <c r="DU130" s="5"/>
      <c r="DV130" s="5"/>
    </row>
    <row r="131" spans="1:126" s="11" customFormat="1" ht="15.75" hidden="1" thickBot="1">
      <c r="B131" s="33">
        <v>45627</v>
      </c>
      <c r="C131" s="50" t="str">
        <f>IFERROR((#REF!/#REF!*1000000),"")</f>
        <v/>
      </c>
      <c r="D131" s="49">
        <f>SEGUIMIENTO!$H$287</f>
        <v>0</v>
      </c>
      <c r="E131" s="50" t="str">
        <f t="shared" si="10"/>
        <v/>
      </c>
      <c r="F131" s="50" t="str">
        <f t="shared" si="11"/>
        <v/>
      </c>
      <c r="G131" s="69" t="str">
        <f t="shared" si="9"/>
        <v/>
      </c>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c r="CX131" s="5"/>
      <c r="CY131" s="5"/>
      <c r="CZ131" s="5"/>
      <c r="DA131" s="5"/>
      <c r="DB131" s="5"/>
      <c r="DC131" s="5"/>
      <c r="DD131" s="5"/>
      <c r="DE131" s="5"/>
      <c r="DF131" s="5"/>
      <c r="DG131" s="5"/>
      <c r="DH131" s="5"/>
      <c r="DI131" s="5"/>
      <c r="DJ131" s="5"/>
      <c r="DK131" s="5"/>
      <c r="DL131" s="5"/>
      <c r="DM131" s="5"/>
      <c r="DN131" s="5"/>
      <c r="DO131" s="5"/>
      <c r="DP131" s="5"/>
      <c r="DQ131" s="5"/>
      <c r="DR131" s="5"/>
      <c r="DS131" s="5"/>
      <c r="DT131" s="5"/>
      <c r="DU131" s="5"/>
      <c r="DV131" s="5"/>
    </row>
    <row r="132" spans="1:126" s="11" customFormat="1" ht="15.75" hidden="1" thickBot="1">
      <c r="B132" s="34">
        <v>45658</v>
      </c>
      <c r="C132" s="54" t="str">
        <f>IFERROR((#REF!/#REF!*1000000),"")</f>
        <v/>
      </c>
      <c r="D132" s="55">
        <f>SEGUIMIENTO!$I$287</f>
        <v>0</v>
      </c>
      <c r="E132" s="54" t="str">
        <f t="shared" si="10"/>
        <v/>
      </c>
      <c r="F132" s="54" t="str">
        <f t="shared" si="11"/>
        <v/>
      </c>
      <c r="G132" s="70" t="str">
        <f t="shared" si="9"/>
        <v/>
      </c>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c r="CX132" s="5"/>
      <c r="CY132" s="5"/>
      <c r="CZ132" s="5"/>
      <c r="DA132" s="5"/>
      <c r="DB132" s="5"/>
      <c r="DC132" s="5"/>
      <c r="DD132" s="5"/>
      <c r="DE132" s="5"/>
      <c r="DF132" s="5"/>
      <c r="DG132" s="5"/>
      <c r="DH132" s="5"/>
      <c r="DI132" s="5"/>
      <c r="DJ132" s="5"/>
      <c r="DK132" s="5"/>
      <c r="DL132" s="5"/>
      <c r="DM132" s="5"/>
      <c r="DN132" s="5"/>
      <c r="DO132" s="5"/>
      <c r="DP132" s="5"/>
      <c r="DQ132" s="5"/>
      <c r="DR132" s="5"/>
      <c r="DS132" s="5"/>
      <c r="DT132" s="5"/>
      <c r="DU132" s="5"/>
      <c r="DV132" s="5"/>
    </row>
    <row r="133" spans="1:126" s="11" customFormat="1" ht="15.75" hidden="1" thickBot="1">
      <c r="B133" s="28">
        <v>45689</v>
      </c>
      <c r="C133" s="21" t="str">
        <f>IFERROR((#REF!/#REF!*1000000),"")</f>
        <v/>
      </c>
      <c r="D133" s="48">
        <f>SEGUIMIENTO!$I$287</f>
        <v>0</v>
      </c>
      <c r="E133" s="21" t="str">
        <f t="shared" si="10"/>
        <v/>
      </c>
      <c r="F133" s="21" t="str">
        <f t="shared" si="11"/>
        <v/>
      </c>
      <c r="G133" s="68" t="str">
        <f t="shared" si="9"/>
        <v/>
      </c>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row>
    <row r="134" spans="1:126" s="11" customFormat="1" ht="15.75" hidden="1" thickBot="1">
      <c r="B134" s="28">
        <v>45717</v>
      </c>
      <c r="C134" s="21" t="str">
        <f>IFERROR((#REF!/#REF!*1000000),"")</f>
        <v/>
      </c>
      <c r="D134" s="48">
        <f>SEGUIMIENTO!$I$287</f>
        <v>0</v>
      </c>
      <c r="E134" s="21" t="str">
        <f t="shared" si="10"/>
        <v/>
      </c>
      <c r="F134" s="21" t="str">
        <f t="shared" si="11"/>
        <v/>
      </c>
      <c r="G134" s="68" t="str">
        <f t="shared" si="9"/>
        <v/>
      </c>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c r="DU134" s="5"/>
      <c r="DV134" s="5"/>
    </row>
    <row r="135" spans="1:126" s="11" customFormat="1" ht="15.75" hidden="1" thickBot="1">
      <c r="B135" s="28">
        <v>45748</v>
      </c>
      <c r="C135" s="21" t="str">
        <f>IFERROR((#REF!/#REF!*1000000),"")</f>
        <v/>
      </c>
      <c r="D135" s="48">
        <f>SEGUIMIENTO!$I$287</f>
        <v>0</v>
      </c>
      <c r="E135" s="21" t="str">
        <f t="shared" si="10"/>
        <v/>
      </c>
      <c r="F135" s="21" t="str">
        <f t="shared" si="11"/>
        <v/>
      </c>
      <c r="G135" s="68" t="str">
        <f t="shared" si="9"/>
        <v/>
      </c>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c r="CX135" s="5"/>
      <c r="CY135" s="5"/>
      <c r="CZ135" s="5"/>
      <c r="DA135" s="5"/>
      <c r="DB135" s="5"/>
      <c r="DC135" s="5"/>
      <c r="DD135" s="5"/>
      <c r="DE135" s="5"/>
      <c r="DF135" s="5"/>
      <c r="DG135" s="5"/>
      <c r="DH135" s="5"/>
      <c r="DI135" s="5"/>
      <c r="DJ135" s="5"/>
      <c r="DK135" s="5"/>
      <c r="DL135" s="5"/>
      <c r="DM135" s="5"/>
      <c r="DN135" s="5"/>
      <c r="DO135" s="5"/>
      <c r="DP135" s="5"/>
      <c r="DQ135" s="5"/>
      <c r="DR135" s="5"/>
      <c r="DS135" s="5"/>
      <c r="DT135" s="5"/>
      <c r="DU135" s="5"/>
      <c r="DV135" s="5"/>
    </row>
    <row r="136" spans="1:126" s="11" customFormat="1" ht="15.75" hidden="1" thickBot="1">
      <c r="B136" s="28">
        <v>45778</v>
      </c>
      <c r="C136" s="21" t="str">
        <f>IFERROR((#REF!/#REF!*1000000),"")</f>
        <v/>
      </c>
      <c r="D136" s="48">
        <f>SEGUIMIENTO!$I$287</f>
        <v>0</v>
      </c>
      <c r="E136" s="21" t="str">
        <f t="shared" si="10"/>
        <v/>
      </c>
      <c r="F136" s="21" t="str">
        <f t="shared" si="11"/>
        <v/>
      </c>
      <c r="G136" s="68" t="str">
        <f t="shared" si="9"/>
        <v/>
      </c>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c r="CX136" s="5"/>
      <c r="CY136" s="5"/>
      <c r="CZ136" s="5"/>
      <c r="DA136" s="5"/>
      <c r="DB136" s="5"/>
      <c r="DC136" s="5"/>
      <c r="DD136" s="5"/>
      <c r="DE136" s="5"/>
      <c r="DF136" s="5"/>
      <c r="DG136" s="5"/>
      <c r="DH136" s="5"/>
      <c r="DI136" s="5"/>
      <c r="DJ136" s="5"/>
      <c r="DK136" s="5"/>
      <c r="DL136" s="5"/>
      <c r="DM136" s="5"/>
      <c r="DN136" s="5"/>
      <c r="DO136" s="5"/>
      <c r="DP136" s="5"/>
      <c r="DQ136" s="5"/>
      <c r="DR136" s="5"/>
      <c r="DS136" s="5"/>
      <c r="DT136" s="5"/>
      <c r="DU136" s="5"/>
      <c r="DV136" s="5"/>
    </row>
    <row r="137" spans="1:126" s="11" customFormat="1" ht="15.75" hidden="1" thickBot="1">
      <c r="B137" s="28">
        <v>45809</v>
      </c>
      <c r="C137" s="21" t="str">
        <f>IFERROR((#REF!/#REF!*1000000),"")</f>
        <v/>
      </c>
      <c r="D137" s="48">
        <f>SEGUIMIENTO!$I$287</f>
        <v>0</v>
      </c>
      <c r="E137" s="21" t="str">
        <f t="shared" si="10"/>
        <v/>
      </c>
      <c r="F137" s="21" t="str">
        <f t="shared" si="11"/>
        <v/>
      </c>
      <c r="G137" s="68" t="str">
        <f t="shared" si="9"/>
        <v/>
      </c>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c r="CX137" s="5"/>
      <c r="CY137" s="5"/>
      <c r="CZ137" s="5"/>
      <c r="DA137" s="5"/>
      <c r="DB137" s="5"/>
      <c r="DC137" s="5"/>
      <c r="DD137" s="5"/>
      <c r="DE137" s="5"/>
      <c r="DF137" s="5"/>
      <c r="DG137" s="5"/>
      <c r="DH137" s="5"/>
      <c r="DI137" s="5"/>
      <c r="DJ137" s="5"/>
      <c r="DK137" s="5"/>
      <c r="DL137" s="5"/>
      <c r="DM137" s="5"/>
      <c r="DN137" s="5"/>
      <c r="DO137" s="5"/>
      <c r="DP137" s="5"/>
      <c r="DQ137" s="5"/>
      <c r="DR137" s="5"/>
      <c r="DS137" s="5"/>
      <c r="DT137" s="5"/>
      <c r="DU137" s="5"/>
      <c r="DV137" s="5"/>
    </row>
    <row r="138" spans="1:126" s="11" customFormat="1" ht="15.75" hidden="1" thickBot="1">
      <c r="B138" s="28">
        <v>45839</v>
      </c>
      <c r="C138" s="21" t="str">
        <f>IFERROR((#REF!/#REF!*1000000),"")</f>
        <v/>
      </c>
      <c r="D138" s="48">
        <f>SEGUIMIENTO!$I$287</f>
        <v>0</v>
      </c>
      <c r="E138" s="21" t="str">
        <f t="shared" si="10"/>
        <v/>
      </c>
      <c r="F138" s="21" t="str">
        <f t="shared" si="11"/>
        <v/>
      </c>
      <c r="G138" s="68" t="str">
        <f t="shared" si="9"/>
        <v/>
      </c>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c r="DC138" s="5"/>
      <c r="DD138" s="5"/>
      <c r="DE138" s="5"/>
      <c r="DF138" s="5"/>
      <c r="DG138" s="5"/>
      <c r="DH138" s="5"/>
      <c r="DI138" s="5"/>
      <c r="DJ138" s="5"/>
      <c r="DK138" s="5"/>
      <c r="DL138" s="5"/>
      <c r="DM138" s="5"/>
      <c r="DN138" s="5"/>
      <c r="DO138" s="5"/>
      <c r="DP138" s="5"/>
      <c r="DQ138" s="5"/>
      <c r="DR138" s="5"/>
      <c r="DS138" s="5"/>
      <c r="DT138" s="5"/>
      <c r="DU138" s="5"/>
      <c r="DV138" s="5"/>
    </row>
    <row r="139" spans="1:126" s="11" customFormat="1" ht="15.75" hidden="1" thickBot="1">
      <c r="B139" s="28">
        <v>45870</v>
      </c>
      <c r="C139" s="21" t="str">
        <f>IFERROR((#REF!/#REF!*1000000),"")</f>
        <v/>
      </c>
      <c r="D139" s="48">
        <f>SEGUIMIENTO!$I$287</f>
        <v>0</v>
      </c>
      <c r="E139" s="21" t="str">
        <f t="shared" si="10"/>
        <v/>
      </c>
      <c r="F139" s="21" t="str">
        <f t="shared" si="11"/>
        <v/>
      </c>
      <c r="G139" s="68" t="str">
        <f t="shared" si="9"/>
        <v/>
      </c>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c r="DC139" s="5"/>
      <c r="DD139" s="5"/>
      <c r="DE139" s="5"/>
      <c r="DF139" s="5"/>
      <c r="DG139" s="5"/>
      <c r="DH139" s="5"/>
      <c r="DI139" s="5"/>
      <c r="DJ139" s="5"/>
      <c r="DK139" s="5"/>
      <c r="DL139" s="5"/>
      <c r="DM139" s="5"/>
      <c r="DN139" s="5"/>
      <c r="DO139" s="5"/>
      <c r="DP139" s="5"/>
      <c r="DQ139" s="5"/>
      <c r="DR139" s="5"/>
      <c r="DS139" s="5"/>
      <c r="DT139" s="5"/>
      <c r="DU139" s="5"/>
      <c r="DV139" s="5"/>
    </row>
    <row r="140" spans="1:126" s="11" customFormat="1" ht="15.75" hidden="1" thickBot="1">
      <c r="B140" s="28">
        <v>45901</v>
      </c>
      <c r="C140" s="21" t="str">
        <f>IFERROR((#REF!/#REF!*1000000),"")</f>
        <v/>
      </c>
      <c r="D140" s="48">
        <f>SEGUIMIENTO!$I$287</f>
        <v>0</v>
      </c>
      <c r="E140" s="21" t="str">
        <f t="shared" si="10"/>
        <v/>
      </c>
      <c r="F140" s="21" t="str">
        <f t="shared" si="11"/>
        <v/>
      </c>
      <c r="G140" s="68" t="str">
        <f t="shared" si="9"/>
        <v/>
      </c>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c r="CX140" s="5"/>
      <c r="CY140" s="5"/>
      <c r="CZ140" s="5"/>
      <c r="DA140" s="5"/>
      <c r="DB140" s="5"/>
      <c r="DC140" s="5"/>
      <c r="DD140" s="5"/>
      <c r="DE140" s="5"/>
      <c r="DF140" s="5"/>
      <c r="DG140" s="5"/>
      <c r="DH140" s="5"/>
      <c r="DI140" s="5"/>
      <c r="DJ140" s="5"/>
      <c r="DK140" s="5"/>
      <c r="DL140" s="5"/>
      <c r="DM140" s="5"/>
      <c r="DN140" s="5"/>
      <c r="DO140" s="5"/>
      <c r="DP140" s="5"/>
      <c r="DQ140" s="5"/>
      <c r="DR140" s="5"/>
      <c r="DS140" s="5"/>
      <c r="DT140" s="5"/>
      <c r="DU140" s="5"/>
      <c r="DV140" s="5"/>
    </row>
    <row r="141" spans="1:126" s="11" customFormat="1" ht="15.75" hidden="1" thickBot="1">
      <c r="B141" s="28">
        <v>45931</v>
      </c>
      <c r="C141" s="21" t="str">
        <f>IFERROR((#REF!/#REF!*1000000),"")</f>
        <v/>
      </c>
      <c r="D141" s="48">
        <f>SEGUIMIENTO!$I$287</f>
        <v>0</v>
      </c>
      <c r="E141" s="21" t="str">
        <f t="shared" si="10"/>
        <v/>
      </c>
      <c r="F141" s="21" t="str">
        <f t="shared" si="11"/>
        <v/>
      </c>
      <c r="G141" s="68" t="str">
        <f t="shared" si="9"/>
        <v/>
      </c>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row>
    <row r="142" spans="1:126" s="11" customFormat="1" ht="15.75" hidden="1" thickBot="1">
      <c r="B142" s="28">
        <v>45962</v>
      </c>
      <c r="C142" s="32" t="str">
        <f>IFERROR((#REF!/#REF!*1000000),"")</f>
        <v/>
      </c>
      <c r="D142" s="48">
        <f>SEGUIMIENTO!$I$287</f>
        <v>0</v>
      </c>
      <c r="E142" s="32" t="str">
        <f t="shared" si="10"/>
        <v/>
      </c>
      <c r="F142" s="32" t="str">
        <f t="shared" si="11"/>
        <v/>
      </c>
      <c r="G142" s="68" t="str">
        <f t="shared" si="9"/>
        <v/>
      </c>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c r="CX142" s="5"/>
      <c r="CY142" s="5"/>
      <c r="CZ142" s="5"/>
      <c r="DA142" s="5"/>
      <c r="DB142" s="5"/>
      <c r="DC142" s="5"/>
      <c r="DD142" s="5"/>
      <c r="DE142" s="5"/>
      <c r="DF142" s="5"/>
      <c r="DG142" s="5"/>
      <c r="DH142" s="5"/>
      <c r="DI142" s="5"/>
      <c r="DJ142" s="5"/>
      <c r="DK142" s="5"/>
      <c r="DL142" s="5"/>
      <c r="DM142" s="5"/>
      <c r="DN142" s="5"/>
      <c r="DO142" s="5"/>
      <c r="DP142" s="5"/>
      <c r="DQ142" s="5"/>
      <c r="DR142" s="5"/>
      <c r="DS142" s="5"/>
      <c r="DT142" s="5"/>
      <c r="DU142" s="5"/>
      <c r="DV142" s="5"/>
    </row>
    <row r="143" spans="1:126" s="11" customFormat="1" ht="15.75" hidden="1" thickBot="1">
      <c r="B143" s="33">
        <v>45992</v>
      </c>
      <c r="C143" s="50" t="str">
        <f>IFERROR((#REF!/#REF!*1000000),"")</f>
        <v/>
      </c>
      <c r="D143" s="49">
        <f>SEGUIMIENTO!$I$287</f>
        <v>0</v>
      </c>
      <c r="E143" s="50" t="str">
        <f t="shared" si="10"/>
        <v/>
      </c>
      <c r="F143" s="50" t="str">
        <f t="shared" si="11"/>
        <v/>
      </c>
      <c r="G143" s="69" t="str">
        <f t="shared" ref="G143:G179" si="12">IFERROR(TREND($C$48:$C$58,$B$48:$B$58,B143,TRUE),"")</f>
        <v/>
      </c>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c r="CX143" s="5"/>
      <c r="CY143" s="5"/>
      <c r="CZ143" s="5"/>
      <c r="DA143" s="5"/>
      <c r="DB143" s="5"/>
      <c r="DC143" s="5"/>
      <c r="DD143" s="5"/>
      <c r="DE143" s="5"/>
      <c r="DF143" s="5"/>
      <c r="DG143" s="5"/>
      <c r="DH143" s="5"/>
      <c r="DI143" s="5"/>
      <c r="DJ143" s="5"/>
      <c r="DK143" s="5"/>
      <c r="DL143" s="5"/>
      <c r="DM143" s="5"/>
      <c r="DN143" s="5"/>
      <c r="DO143" s="5"/>
      <c r="DP143" s="5"/>
      <c r="DQ143" s="5"/>
      <c r="DR143" s="5"/>
      <c r="DS143" s="5"/>
      <c r="DT143" s="5"/>
      <c r="DU143" s="5"/>
      <c r="DV143" s="5"/>
    </row>
    <row r="144" spans="1:126" s="11" customFormat="1" ht="14.45" customHeight="1">
      <c r="A144" s="95">
        <v>1</v>
      </c>
      <c r="B144" s="34">
        <v>46023</v>
      </c>
      <c r="C144" s="21">
        <v>2</v>
      </c>
      <c r="D144" s="55">
        <f>SEGUIMIENTO!$J$287</f>
        <v>2</v>
      </c>
      <c r="E144" s="54">
        <f t="shared" si="10"/>
        <v>2</v>
      </c>
      <c r="F144" s="54" t="str">
        <f t="shared" si="11"/>
        <v/>
      </c>
      <c r="G144" s="70" t="str">
        <f t="shared" si="12"/>
        <v/>
      </c>
      <c r="H144" s="5"/>
      <c r="I144" s="5"/>
      <c r="J144" s="5"/>
      <c r="K144" s="5"/>
      <c r="L144" s="89"/>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c r="CX144" s="5"/>
      <c r="CY144" s="5"/>
      <c r="CZ144" s="5"/>
      <c r="DA144" s="5"/>
      <c r="DB144" s="5"/>
      <c r="DC144" s="5"/>
      <c r="DD144" s="5"/>
      <c r="DE144" s="5"/>
      <c r="DF144" s="5"/>
      <c r="DG144" s="5"/>
      <c r="DH144" s="5"/>
      <c r="DI144" s="5"/>
      <c r="DJ144" s="5"/>
      <c r="DK144" s="5"/>
      <c r="DL144" s="5"/>
      <c r="DM144" s="5"/>
      <c r="DN144" s="5"/>
      <c r="DO144" s="5"/>
      <c r="DP144" s="5"/>
      <c r="DQ144" s="5"/>
      <c r="DR144" s="5"/>
      <c r="DS144" s="5"/>
      <c r="DT144" s="5"/>
      <c r="DU144" s="5"/>
      <c r="DV144" s="5"/>
    </row>
    <row r="145" spans="1:126" s="11" customFormat="1" ht="14.45" customHeight="1">
      <c r="A145" s="95">
        <f t="shared" ref="A145:A155" si="13">1+A144</f>
        <v>2</v>
      </c>
      <c r="B145" s="28">
        <v>46054</v>
      </c>
      <c r="C145" s="21">
        <v>4</v>
      </c>
      <c r="D145" s="48">
        <f>SEGUIMIENTO!$J$287</f>
        <v>2</v>
      </c>
      <c r="E145" s="21">
        <f t="shared" si="10"/>
        <v>4</v>
      </c>
      <c r="F145" s="21" t="str">
        <f t="shared" si="11"/>
        <v/>
      </c>
      <c r="G145" s="68" t="str">
        <f t="shared" si="12"/>
        <v/>
      </c>
      <c r="H145" s="5"/>
      <c r="I145" s="5"/>
      <c r="J145" s="5"/>
      <c r="K145" s="5"/>
      <c r="L145" s="89"/>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c r="CX145" s="5"/>
      <c r="CY145" s="5"/>
      <c r="CZ145" s="5"/>
      <c r="DA145" s="5"/>
      <c r="DB145" s="5"/>
      <c r="DC145" s="5"/>
      <c r="DD145" s="5"/>
      <c r="DE145" s="5"/>
      <c r="DF145" s="5"/>
      <c r="DG145" s="5"/>
      <c r="DH145" s="5"/>
      <c r="DI145" s="5"/>
      <c r="DJ145" s="5"/>
      <c r="DK145" s="5"/>
      <c r="DL145" s="5"/>
      <c r="DM145" s="5"/>
      <c r="DN145" s="5"/>
      <c r="DO145" s="5"/>
      <c r="DP145" s="5"/>
      <c r="DQ145" s="5"/>
      <c r="DR145" s="5"/>
      <c r="DS145" s="5"/>
      <c r="DT145" s="5"/>
      <c r="DU145" s="5"/>
      <c r="DV145" s="5"/>
    </row>
    <row r="146" spans="1:126" s="11" customFormat="1" ht="14.45" customHeight="1">
      <c r="A146" s="95">
        <f t="shared" si="13"/>
        <v>3</v>
      </c>
      <c r="B146" s="28">
        <v>46082</v>
      </c>
      <c r="C146" s="21">
        <v>3</v>
      </c>
      <c r="D146" s="48">
        <f>SEGUIMIENTO!$J$287</f>
        <v>2</v>
      </c>
      <c r="E146" s="21">
        <f t="shared" si="10"/>
        <v>3</v>
      </c>
      <c r="F146" s="21" t="str">
        <f t="shared" si="11"/>
        <v/>
      </c>
      <c r="G146" s="68" t="str">
        <f t="shared" si="12"/>
        <v/>
      </c>
      <c r="H146" s="5"/>
      <c r="I146" s="5"/>
      <c r="J146" s="5"/>
      <c r="K146" s="5"/>
      <c r="L146" s="89"/>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c r="CX146" s="5"/>
      <c r="CY146" s="5"/>
      <c r="CZ146" s="5"/>
      <c r="DA146" s="5"/>
      <c r="DB146" s="5"/>
      <c r="DC146" s="5"/>
      <c r="DD146" s="5"/>
      <c r="DE146" s="5"/>
      <c r="DF146" s="5"/>
      <c r="DG146" s="5"/>
      <c r="DH146" s="5"/>
      <c r="DI146" s="5"/>
      <c r="DJ146" s="5"/>
      <c r="DK146" s="5"/>
      <c r="DL146" s="5"/>
      <c r="DM146" s="5"/>
      <c r="DN146" s="5"/>
      <c r="DO146" s="5"/>
      <c r="DP146" s="5"/>
      <c r="DQ146" s="5"/>
      <c r="DR146" s="5"/>
      <c r="DS146" s="5"/>
      <c r="DT146" s="5"/>
      <c r="DU146" s="5"/>
      <c r="DV146" s="5"/>
    </row>
    <row r="147" spans="1:126" s="11" customFormat="1" ht="14.45" customHeight="1">
      <c r="A147" s="95">
        <f t="shared" si="13"/>
        <v>4</v>
      </c>
      <c r="B147" s="28">
        <v>46113</v>
      </c>
      <c r="C147" s="21">
        <v>4</v>
      </c>
      <c r="D147" s="48">
        <f>SEGUIMIENTO!$J$287</f>
        <v>2</v>
      </c>
      <c r="E147" s="21">
        <f t="shared" si="10"/>
        <v>4</v>
      </c>
      <c r="F147" s="21" t="str">
        <f t="shared" si="11"/>
        <v/>
      </c>
      <c r="G147" s="68" t="str">
        <f t="shared" si="12"/>
        <v/>
      </c>
      <c r="H147" s="5"/>
      <c r="I147" s="5"/>
      <c r="J147" s="5"/>
      <c r="K147" s="5"/>
      <c r="L147" s="89"/>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c r="CX147" s="5"/>
      <c r="CY147" s="5"/>
      <c r="CZ147" s="5"/>
      <c r="DA147" s="5"/>
      <c r="DB147" s="5"/>
      <c r="DC147" s="5"/>
      <c r="DD147" s="5"/>
      <c r="DE147" s="5"/>
      <c r="DF147" s="5"/>
      <c r="DG147" s="5"/>
      <c r="DH147" s="5"/>
      <c r="DI147" s="5"/>
      <c r="DJ147" s="5"/>
      <c r="DK147" s="5"/>
      <c r="DL147" s="5"/>
      <c r="DM147" s="5"/>
      <c r="DN147" s="5"/>
      <c r="DO147" s="5"/>
      <c r="DP147" s="5"/>
      <c r="DQ147" s="5"/>
      <c r="DR147" s="5"/>
      <c r="DS147" s="5"/>
      <c r="DT147" s="5"/>
      <c r="DU147" s="5"/>
      <c r="DV147" s="5"/>
    </row>
    <row r="148" spans="1:126" s="11" customFormat="1" ht="15" customHeight="1">
      <c r="A148" s="95">
        <f t="shared" si="13"/>
        <v>5</v>
      </c>
      <c r="B148" s="28">
        <v>46143</v>
      </c>
      <c r="C148" s="21">
        <v>2</v>
      </c>
      <c r="D148" s="48">
        <f>SEGUIMIENTO!$J$287</f>
        <v>2</v>
      </c>
      <c r="E148" s="21">
        <f t="shared" si="10"/>
        <v>2</v>
      </c>
      <c r="F148" s="21" t="str">
        <f t="shared" si="11"/>
        <v/>
      </c>
      <c r="G148" s="68" t="str">
        <f t="shared" si="12"/>
        <v/>
      </c>
      <c r="H148" s="5"/>
      <c r="I148" s="5"/>
      <c r="J148" s="5"/>
      <c r="K148" s="5"/>
      <c r="L148" s="89"/>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row>
    <row r="149" spans="1:126" s="11" customFormat="1">
      <c r="A149" s="95">
        <f t="shared" si="13"/>
        <v>6</v>
      </c>
      <c r="B149" s="28">
        <v>46174</v>
      </c>
      <c r="C149" s="21">
        <v>6</v>
      </c>
      <c r="D149" s="48">
        <f>SEGUIMIENTO!$J$287</f>
        <v>2</v>
      </c>
      <c r="E149" s="21">
        <f t="shared" si="10"/>
        <v>6</v>
      </c>
      <c r="F149" s="21" t="str">
        <f t="shared" si="11"/>
        <v/>
      </c>
      <c r="G149" s="68" t="str">
        <f t="shared" si="12"/>
        <v/>
      </c>
      <c r="H149" s="5"/>
      <c r="I149" s="5"/>
      <c r="J149" s="5"/>
      <c r="K149" s="5"/>
      <c r="L149" s="89"/>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c r="CX149" s="5"/>
      <c r="CY149" s="5"/>
      <c r="CZ149" s="5"/>
      <c r="DA149" s="5"/>
      <c r="DB149" s="5"/>
      <c r="DC149" s="5"/>
      <c r="DD149" s="5"/>
      <c r="DE149" s="5"/>
      <c r="DF149" s="5"/>
      <c r="DG149" s="5"/>
      <c r="DH149" s="5"/>
      <c r="DI149" s="5"/>
      <c r="DJ149" s="5"/>
      <c r="DK149" s="5"/>
      <c r="DL149" s="5"/>
      <c r="DM149" s="5"/>
      <c r="DN149" s="5"/>
      <c r="DO149" s="5"/>
      <c r="DP149" s="5"/>
      <c r="DQ149" s="5"/>
      <c r="DR149" s="5"/>
      <c r="DS149" s="5"/>
      <c r="DT149" s="5"/>
      <c r="DU149" s="5"/>
      <c r="DV149" s="5"/>
    </row>
    <row r="150" spans="1:126" s="11" customFormat="1">
      <c r="A150" s="95">
        <f t="shared" si="13"/>
        <v>7</v>
      </c>
      <c r="B150" s="28">
        <v>46204</v>
      </c>
      <c r="C150" s="21">
        <v>7</v>
      </c>
      <c r="D150" s="48">
        <f>SEGUIMIENTO!$J$287</f>
        <v>2</v>
      </c>
      <c r="E150" s="21">
        <f t="shared" si="10"/>
        <v>7</v>
      </c>
      <c r="F150" s="21" t="str">
        <f t="shared" si="11"/>
        <v/>
      </c>
      <c r="G150" s="68" t="str">
        <f t="shared" si="12"/>
        <v/>
      </c>
      <c r="H150" s="5"/>
      <c r="I150" s="5"/>
      <c r="J150" s="5"/>
      <c r="K150" s="5"/>
      <c r="L150" s="89"/>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row>
    <row r="151" spans="1:126" s="11" customFormat="1">
      <c r="A151" s="95">
        <f t="shared" si="13"/>
        <v>8</v>
      </c>
      <c r="B151" s="28">
        <v>46235</v>
      </c>
      <c r="C151" s="21">
        <v>3</v>
      </c>
      <c r="D151" s="48">
        <f>SEGUIMIENTO!$J$287</f>
        <v>2</v>
      </c>
      <c r="E151" s="21">
        <f t="shared" si="10"/>
        <v>3</v>
      </c>
      <c r="F151" s="21" t="str">
        <f t="shared" si="11"/>
        <v/>
      </c>
      <c r="G151" s="68" t="str">
        <f t="shared" si="12"/>
        <v/>
      </c>
      <c r="H151" s="5"/>
      <c r="I151" s="5"/>
      <c r="J151" s="5"/>
      <c r="K151" s="5"/>
      <c r="L151" s="89"/>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c r="CX151" s="5"/>
      <c r="CY151" s="5"/>
      <c r="CZ151" s="5"/>
      <c r="DA151" s="5"/>
      <c r="DB151" s="5"/>
      <c r="DC151" s="5"/>
      <c r="DD151" s="5"/>
      <c r="DE151" s="5"/>
      <c r="DF151" s="5"/>
      <c r="DG151" s="5"/>
      <c r="DH151" s="5"/>
      <c r="DI151" s="5"/>
      <c r="DJ151" s="5"/>
      <c r="DK151" s="5"/>
      <c r="DL151" s="5"/>
      <c r="DM151" s="5"/>
      <c r="DN151" s="5"/>
      <c r="DO151" s="5"/>
      <c r="DP151" s="5"/>
      <c r="DQ151" s="5"/>
      <c r="DR151" s="5"/>
      <c r="DS151" s="5"/>
      <c r="DT151" s="5"/>
      <c r="DU151" s="5"/>
      <c r="DV151" s="5"/>
    </row>
    <row r="152" spans="1:126" s="11" customFormat="1">
      <c r="A152" s="95">
        <f t="shared" si="13"/>
        <v>9</v>
      </c>
      <c r="B152" s="28">
        <v>46266</v>
      </c>
      <c r="C152" s="21">
        <v>2</v>
      </c>
      <c r="D152" s="48">
        <f>SEGUIMIENTO!$J$287</f>
        <v>2</v>
      </c>
      <c r="E152" s="21">
        <f t="shared" si="10"/>
        <v>2</v>
      </c>
      <c r="F152" s="21" t="str">
        <f t="shared" si="11"/>
        <v/>
      </c>
      <c r="G152" s="68" t="str">
        <f t="shared" si="12"/>
        <v/>
      </c>
      <c r="H152" s="5"/>
      <c r="I152" s="5"/>
      <c r="J152" s="5"/>
      <c r="K152" s="5"/>
      <c r="L152" s="89"/>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c r="CX152" s="5"/>
      <c r="CY152" s="5"/>
      <c r="CZ152" s="5"/>
      <c r="DA152" s="5"/>
      <c r="DB152" s="5"/>
      <c r="DC152" s="5"/>
      <c r="DD152" s="5"/>
      <c r="DE152" s="5"/>
      <c r="DF152" s="5"/>
      <c r="DG152" s="5"/>
      <c r="DH152" s="5"/>
      <c r="DI152" s="5"/>
      <c r="DJ152" s="5"/>
      <c r="DK152" s="5"/>
      <c r="DL152" s="5"/>
      <c r="DM152" s="5"/>
      <c r="DN152" s="5"/>
      <c r="DO152" s="5"/>
      <c r="DP152" s="5"/>
      <c r="DQ152" s="5"/>
      <c r="DR152" s="5"/>
      <c r="DS152" s="5"/>
      <c r="DT152" s="5"/>
      <c r="DU152" s="5"/>
      <c r="DV152" s="5"/>
    </row>
    <row r="153" spans="1:126" s="11" customFormat="1">
      <c r="A153" s="95">
        <f t="shared" si="13"/>
        <v>10</v>
      </c>
      <c r="B153" s="28">
        <v>46296</v>
      </c>
      <c r="C153" s="21">
        <v>4</v>
      </c>
      <c r="D153" s="48">
        <f>SEGUIMIENTO!$J$287</f>
        <v>2</v>
      </c>
      <c r="E153" s="21">
        <f t="shared" si="10"/>
        <v>4</v>
      </c>
      <c r="F153" s="21" t="str">
        <f t="shared" si="11"/>
        <v/>
      </c>
      <c r="G153" s="68" t="str">
        <f t="shared" si="12"/>
        <v/>
      </c>
      <c r="H153" s="5"/>
      <c r="I153" s="5"/>
      <c r="J153" s="5"/>
      <c r="K153" s="5"/>
      <c r="L153" s="89"/>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c r="DA153" s="5"/>
      <c r="DB153" s="5"/>
      <c r="DC153" s="5"/>
      <c r="DD153" s="5"/>
      <c r="DE153" s="5"/>
      <c r="DF153" s="5"/>
      <c r="DG153" s="5"/>
      <c r="DH153" s="5"/>
      <c r="DI153" s="5"/>
      <c r="DJ153" s="5"/>
      <c r="DK153" s="5"/>
      <c r="DL153" s="5"/>
      <c r="DM153" s="5"/>
      <c r="DN153" s="5"/>
      <c r="DO153" s="5"/>
      <c r="DP153" s="5"/>
      <c r="DQ153" s="5"/>
      <c r="DR153" s="5"/>
      <c r="DS153" s="5"/>
      <c r="DT153" s="5"/>
      <c r="DU153" s="5"/>
      <c r="DV153" s="5"/>
    </row>
    <row r="154" spans="1:126" s="11" customFormat="1">
      <c r="A154" s="95">
        <f t="shared" si="13"/>
        <v>11</v>
      </c>
      <c r="B154" s="28">
        <v>46327</v>
      </c>
      <c r="C154" s="21"/>
      <c r="D154" s="48">
        <f>SEGUIMIENTO!$J$287</f>
        <v>2</v>
      </c>
      <c r="E154" s="21" t="str">
        <f t="shared" si="10"/>
        <v/>
      </c>
      <c r="F154" s="21">
        <f t="shared" si="11"/>
        <v>0</v>
      </c>
      <c r="G154" s="68" t="str">
        <f t="shared" si="12"/>
        <v/>
      </c>
      <c r="H154" s="5"/>
      <c r="I154" s="5"/>
      <c r="J154" s="5"/>
      <c r="K154" s="5"/>
      <c r="L154" s="89"/>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c r="DA154" s="5"/>
      <c r="DB154" s="5"/>
      <c r="DC154" s="5"/>
      <c r="DD154" s="5"/>
      <c r="DE154" s="5"/>
      <c r="DF154" s="5"/>
      <c r="DG154" s="5"/>
      <c r="DH154" s="5"/>
      <c r="DI154" s="5"/>
      <c r="DJ154" s="5"/>
      <c r="DK154" s="5"/>
      <c r="DL154" s="5"/>
      <c r="DM154" s="5"/>
      <c r="DN154" s="5"/>
      <c r="DO154" s="5"/>
      <c r="DP154" s="5"/>
      <c r="DQ154" s="5"/>
      <c r="DR154" s="5"/>
      <c r="DS154" s="5"/>
      <c r="DT154" s="5"/>
      <c r="DU154" s="5"/>
      <c r="DV154" s="5"/>
    </row>
    <row r="155" spans="1:126" s="11" customFormat="1" ht="15.75" thickBot="1">
      <c r="A155" s="95">
        <f t="shared" si="13"/>
        <v>12</v>
      </c>
      <c r="B155" s="33">
        <v>46357</v>
      </c>
      <c r="C155" s="21"/>
      <c r="D155" s="49">
        <f>SEGUIMIENTO!$J$287</f>
        <v>2</v>
      </c>
      <c r="E155" s="23" t="str">
        <f t="shared" si="10"/>
        <v/>
      </c>
      <c r="F155" s="23">
        <f t="shared" si="11"/>
        <v>0</v>
      </c>
      <c r="G155" s="69" t="str">
        <f t="shared" si="12"/>
        <v/>
      </c>
      <c r="H155" s="5"/>
      <c r="I155" s="5"/>
      <c r="J155" s="5"/>
      <c r="K155" s="5"/>
      <c r="L155" s="89"/>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c r="DA155" s="5"/>
      <c r="DB155" s="5"/>
      <c r="DC155" s="5"/>
      <c r="DD155" s="5"/>
      <c r="DE155" s="5"/>
      <c r="DF155" s="5"/>
      <c r="DG155" s="5"/>
      <c r="DH155" s="5"/>
      <c r="DI155" s="5"/>
      <c r="DJ155" s="5"/>
      <c r="DK155" s="5"/>
      <c r="DL155" s="5"/>
      <c r="DM155" s="5"/>
      <c r="DN155" s="5"/>
      <c r="DO155" s="5"/>
      <c r="DP155" s="5"/>
      <c r="DQ155" s="5"/>
      <c r="DR155" s="5"/>
      <c r="DS155" s="5"/>
      <c r="DT155" s="5"/>
      <c r="DU155" s="5"/>
      <c r="DV155" s="5"/>
    </row>
    <row r="156" spans="1:126" s="11" customFormat="1" ht="15.75" hidden="1" thickBot="1">
      <c r="B156" s="34">
        <v>46388</v>
      </c>
      <c r="C156" s="65" t="str">
        <f>IFERROR((#REF!/#REF!*1000000),"")</f>
        <v/>
      </c>
      <c r="D156" s="55">
        <f>SEGUIMIENTO!$K$287</f>
        <v>0</v>
      </c>
      <c r="E156" s="54" t="str">
        <f t="shared" si="10"/>
        <v/>
      </c>
      <c r="F156" s="54" t="str">
        <f t="shared" si="11"/>
        <v/>
      </c>
      <c r="G156" s="70" t="str">
        <f t="shared" si="12"/>
        <v/>
      </c>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c r="DA156" s="5"/>
      <c r="DB156" s="5"/>
      <c r="DC156" s="5"/>
      <c r="DD156" s="5"/>
      <c r="DE156" s="5"/>
      <c r="DF156" s="5"/>
      <c r="DG156" s="5"/>
      <c r="DH156" s="5"/>
      <c r="DI156" s="5"/>
      <c r="DJ156" s="5"/>
      <c r="DK156" s="5"/>
      <c r="DL156" s="5"/>
      <c r="DM156" s="5"/>
      <c r="DN156" s="5"/>
      <c r="DO156" s="5"/>
      <c r="DP156" s="5"/>
      <c r="DQ156" s="5"/>
      <c r="DR156" s="5"/>
      <c r="DS156" s="5"/>
      <c r="DT156" s="5"/>
      <c r="DU156" s="5"/>
      <c r="DV156" s="5"/>
    </row>
    <row r="157" spans="1:126" s="11" customFormat="1" ht="15.75" hidden="1" thickBot="1">
      <c r="B157" s="28">
        <v>46419</v>
      </c>
      <c r="C157" s="21" t="str">
        <f>IFERROR((#REF!/#REF!*1000000),"")</f>
        <v/>
      </c>
      <c r="D157" s="48">
        <f>SEGUIMIENTO!$K$287</f>
        <v>0</v>
      </c>
      <c r="E157" s="21" t="str">
        <f t="shared" si="10"/>
        <v/>
      </c>
      <c r="F157" s="21" t="str">
        <f t="shared" si="11"/>
        <v/>
      </c>
      <c r="G157" s="68" t="str">
        <f t="shared" si="12"/>
        <v/>
      </c>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c r="DA157" s="5"/>
      <c r="DB157" s="5"/>
      <c r="DC157" s="5"/>
      <c r="DD157" s="5"/>
      <c r="DE157" s="5"/>
      <c r="DF157" s="5"/>
      <c r="DG157" s="5"/>
      <c r="DH157" s="5"/>
      <c r="DI157" s="5"/>
      <c r="DJ157" s="5"/>
      <c r="DK157" s="5"/>
      <c r="DL157" s="5"/>
      <c r="DM157" s="5"/>
      <c r="DN157" s="5"/>
      <c r="DO157" s="5"/>
      <c r="DP157" s="5"/>
      <c r="DQ157" s="5"/>
      <c r="DR157" s="5"/>
      <c r="DS157" s="5"/>
      <c r="DT157" s="5"/>
      <c r="DU157" s="5"/>
      <c r="DV157" s="5"/>
    </row>
    <row r="158" spans="1:126" s="11" customFormat="1" ht="15.75" hidden="1" thickBot="1">
      <c r="B158" s="28">
        <v>46447</v>
      </c>
      <c r="C158" s="21" t="str">
        <f>IFERROR((#REF!/#REF!*1000000),"")</f>
        <v/>
      </c>
      <c r="D158" s="48">
        <f>SEGUIMIENTO!$K$287</f>
        <v>0</v>
      </c>
      <c r="E158" s="21" t="str">
        <f t="shared" si="10"/>
        <v/>
      </c>
      <c r="F158" s="21" t="str">
        <f t="shared" si="11"/>
        <v/>
      </c>
      <c r="G158" s="68" t="str">
        <f t="shared" si="12"/>
        <v/>
      </c>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c r="DA158" s="5"/>
      <c r="DB158" s="5"/>
      <c r="DC158" s="5"/>
      <c r="DD158" s="5"/>
      <c r="DE158" s="5"/>
      <c r="DF158" s="5"/>
      <c r="DG158" s="5"/>
      <c r="DH158" s="5"/>
      <c r="DI158" s="5"/>
      <c r="DJ158" s="5"/>
      <c r="DK158" s="5"/>
      <c r="DL158" s="5"/>
      <c r="DM158" s="5"/>
      <c r="DN158" s="5"/>
      <c r="DO158" s="5"/>
      <c r="DP158" s="5"/>
      <c r="DQ158" s="5"/>
      <c r="DR158" s="5"/>
      <c r="DS158" s="5"/>
      <c r="DT158" s="5"/>
      <c r="DU158" s="5"/>
      <c r="DV158" s="5"/>
    </row>
    <row r="159" spans="1:126" s="11" customFormat="1" ht="15.75" hidden="1" thickBot="1">
      <c r="B159" s="28">
        <v>46478</v>
      </c>
      <c r="C159" s="21" t="str">
        <f>IFERROR((#REF!/#REF!*1000000),"")</f>
        <v/>
      </c>
      <c r="D159" s="48">
        <f>SEGUIMIENTO!$K$287</f>
        <v>0</v>
      </c>
      <c r="E159" s="21" t="str">
        <f t="shared" si="10"/>
        <v/>
      </c>
      <c r="F159" s="21" t="str">
        <f t="shared" si="11"/>
        <v/>
      </c>
      <c r="G159" s="68" t="str">
        <f t="shared" si="12"/>
        <v/>
      </c>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c r="DA159" s="5"/>
      <c r="DB159" s="5"/>
      <c r="DC159" s="5"/>
      <c r="DD159" s="5"/>
      <c r="DE159" s="5"/>
      <c r="DF159" s="5"/>
      <c r="DG159" s="5"/>
      <c r="DH159" s="5"/>
      <c r="DI159" s="5"/>
      <c r="DJ159" s="5"/>
      <c r="DK159" s="5"/>
      <c r="DL159" s="5"/>
      <c r="DM159" s="5"/>
      <c r="DN159" s="5"/>
      <c r="DO159" s="5"/>
      <c r="DP159" s="5"/>
      <c r="DQ159" s="5"/>
      <c r="DR159" s="5"/>
      <c r="DS159" s="5"/>
      <c r="DT159" s="5"/>
      <c r="DU159" s="5"/>
      <c r="DV159" s="5"/>
    </row>
    <row r="160" spans="1:126" s="11" customFormat="1" ht="15.75" hidden="1" thickBot="1">
      <c r="B160" s="28">
        <v>46508</v>
      </c>
      <c r="C160" s="21" t="str">
        <f>IFERROR((#REF!/#REF!*1000000),"")</f>
        <v/>
      </c>
      <c r="D160" s="48">
        <f>SEGUIMIENTO!$K$287</f>
        <v>0</v>
      </c>
      <c r="E160" s="21" t="str">
        <f t="shared" si="10"/>
        <v/>
      </c>
      <c r="F160" s="21" t="str">
        <f t="shared" si="11"/>
        <v/>
      </c>
      <c r="G160" s="68" t="str">
        <f t="shared" si="12"/>
        <v/>
      </c>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c r="DA160" s="5"/>
      <c r="DB160" s="5"/>
      <c r="DC160" s="5"/>
      <c r="DD160" s="5"/>
      <c r="DE160" s="5"/>
      <c r="DF160" s="5"/>
      <c r="DG160" s="5"/>
      <c r="DH160" s="5"/>
      <c r="DI160" s="5"/>
      <c r="DJ160" s="5"/>
      <c r="DK160" s="5"/>
      <c r="DL160" s="5"/>
      <c r="DM160" s="5"/>
      <c r="DN160" s="5"/>
      <c r="DO160" s="5"/>
      <c r="DP160" s="5"/>
      <c r="DQ160" s="5"/>
      <c r="DR160" s="5"/>
      <c r="DS160" s="5"/>
      <c r="DT160" s="5"/>
      <c r="DU160" s="5"/>
      <c r="DV160" s="5"/>
    </row>
    <row r="161" spans="2:126" s="11" customFormat="1" ht="15.75" hidden="1" thickBot="1">
      <c r="B161" s="28">
        <v>46539</v>
      </c>
      <c r="C161" s="21" t="str">
        <f>IFERROR((#REF!/#REF!*1000000),"")</f>
        <v/>
      </c>
      <c r="D161" s="48">
        <f>SEGUIMIENTO!$K$287</f>
        <v>0</v>
      </c>
      <c r="E161" s="21" t="str">
        <f t="shared" si="10"/>
        <v/>
      </c>
      <c r="F161" s="21" t="str">
        <f t="shared" si="11"/>
        <v/>
      </c>
      <c r="G161" s="68" t="str">
        <f t="shared" si="12"/>
        <v/>
      </c>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c r="DA161" s="5"/>
      <c r="DB161" s="5"/>
      <c r="DC161" s="5"/>
      <c r="DD161" s="5"/>
      <c r="DE161" s="5"/>
      <c r="DF161" s="5"/>
      <c r="DG161" s="5"/>
      <c r="DH161" s="5"/>
      <c r="DI161" s="5"/>
      <c r="DJ161" s="5"/>
      <c r="DK161" s="5"/>
      <c r="DL161" s="5"/>
      <c r="DM161" s="5"/>
      <c r="DN161" s="5"/>
      <c r="DO161" s="5"/>
      <c r="DP161" s="5"/>
      <c r="DQ161" s="5"/>
      <c r="DR161" s="5"/>
      <c r="DS161" s="5"/>
      <c r="DT161" s="5"/>
      <c r="DU161" s="5"/>
      <c r="DV161" s="5"/>
    </row>
    <row r="162" spans="2:126" s="11" customFormat="1" ht="15.75" hidden="1" thickBot="1">
      <c r="B162" s="28">
        <v>46569</v>
      </c>
      <c r="C162" s="21" t="str">
        <f>IFERROR((#REF!/#REF!*1000000),"")</f>
        <v/>
      </c>
      <c r="D162" s="48">
        <f>SEGUIMIENTO!$K$287</f>
        <v>0</v>
      </c>
      <c r="E162" s="21" t="str">
        <f t="shared" si="10"/>
        <v/>
      </c>
      <c r="F162" s="21" t="str">
        <f t="shared" si="11"/>
        <v/>
      </c>
      <c r="G162" s="68" t="str">
        <f t="shared" si="12"/>
        <v/>
      </c>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c r="DA162" s="5"/>
      <c r="DB162" s="5"/>
      <c r="DC162" s="5"/>
      <c r="DD162" s="5"/>
      <c r="DE162" s="5"/>
      <c r="DF162" s="5"/>
      <c r="DG162" s="5"/>
      <c r="DH162" s="5"/>
      <c r="DI162" s="5"/>
      <c r="DJ162" s="5"/>
      <c r="DK162" s="5"/>
      <c r="DL162" s="5"/>
      <c r="DM162" s="5"/>
      <c r="DN162" s="5"/>
      <c r="DO162" s="5"/>
      <c r="DP162" s="5"/>
      <c r="DQ162" s="5"/>
      <c r="DR162" s="5"/>
      <c r="DS162" s="5"/>
      <c r="DT162" s="5"/>
      <c r="DU162" s="5"/>
      <c r="DV162" s="5"/>
    </row>
    <row r="163" spans="2:126" s="11" customFormat="1" ht="15.75" hidden="1" thickBot="1">
      <c r="B163" s="28">
        <v>46600</v>
      </c>
      <c r="C163" s="21" t="str">
        <f>IFERROR((#REF!/#REF!*1000000),"")</f>
        <v/>
      </c>
      <c r="D163" s="48">
        <f>SEGUIMIENTO!$K$287</f>
        <v>0</v>
      </c>
      <c r="E163" s="21" t="str">
        <f t="shared" si="10"/>
        <v/>
      </c>
      <c r="F163" s="21" t="str">
        <f t="shared" si="11"/>
        <v/>
      </c>
      <c r="G163" s="68" t="str">
        <f t="shared" si="12"/>
        <v/>
      </c>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c r="DA163" s="5"/>
      <c r="DB163" s="5"/>
      <c r="DC163" s="5"/>
      <c r="DD163" s="5"/>
      <c r="DE163" s="5"/>
      <c r="DF163" s="5"/>
      <c r="DG163" s="5"/>
      <c r="DH163" s="5"/>
      <c r="DI163" s="5"/>
      <c r="DJ163" s="5"/>
      <c r="DK163" s="5"/>
      <c r="DL163" s="5"/>
      <c r="DM163" s="5"/>
      <c r="DN163" s="5"/>
      <c r="DO163" s="5"/>
      <c r="DP163" s="5"/>
      <c r="DQ163" s="5"/>
      <c r="DR163" s="5"/>
      <c r="DS163" s="5"/>
      <c r="DT163" s="5"/>
      <c r="DU163" s="5"/>
      <c r="DV163" s="5"/>
    </row>
    <row r="164" spans="2:126" s="11" customFormat="1" ht="15.75" hidden="1" thickBot="1">
      <c r="B164" s="28">
        <v>46631</v>
      </c>
      <c r="C164" s="21" t="str">
        <f>IFERROR((#REF!/#REF!*1000000),"")</f>
        <v/>
      </c>
      <c r="D164" s="48">
        <f>SEGUIMIENTO!$K$287</f>
        <v>0</v>
      </c>
      <c r="E164" s="21" t="str">
        <f t="shared" si="10"/>
        <v/>
      </c>
      <c r="F164" s="21" t="str">
        <f t="shared" si="11"/>
        <v/>
      </c>
      <c r="G164" s="68" t="str">
        <f t="shared" si="12"/>
        <v/>
      </c>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c r="DA164" s="5"/>
      <c r="DB164" s="5"/>
      <c r="DC164" s="5"/>
      <c r="DD164" s="5"/>
      <c r="DE164" s="5"/>
      <c r="DF164" s="5"/>
      <c r="DG164" s="5"/>
      <c r="DH164" s="5"/>
      <c r="DI164" s="5"/>
      <c r="DJ164" s="5"/>
      <c r="DK164" s="5"/>
      <c r="DL164" s="5"/>
      <c r="DM164" s="5"/>
      <c r="DN164" s="5"/>
      <c r="DO164" s="5"/>
      <c r="DP164" s="5"/>
      <c r="DQ164" s="5"/>
      <c r="DR164" s="5"/>
      <c r="DS164" s="5"/>
      <c r="DT164" s="5"/>
      <c r="DU164" s="5"/>
      <c r="DV164" s="5"/>
    </row>
    <row r="165" spans="2:126" s="11" customFormat="1" ht="15.75" hidden="1" thickBot="1">
      <c r="B165" s="28">
        <v>46661</v>
      </c>
      <c r="C165" s="21" t="str">
        <f>IFERROR((#REF!/#REF!*1000000),"")</f>
        <v/>
      </c>
      <c r="D165" s="48">
        <f>SEGUIMIENTO!$K$287</f>
        <v>0</v>
      </c>
      <c r="E165" s="21" t="str">
        <f t="shared" si="10"/>
        <v/>
      </c>
      <c r="F165" s="21" t="str">
        <f t="shared" si="11"/>
        <v/>
      </c>
      <c r="G165" s="68" t="str">
        <f t="shared" si="12"/>
        <v/>
      </c>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c r="DA165" s="5"/>
      <c r="DB165" s="5"/>
      <c r="DC165" s="5"/>
      <c r="DD165" s="5"/>
      <c r="DE165" s="5"/>
      <c r="DF165" s="5"/>
      <c r="DG165" s="5"/>
      <c r="DH165" s="5"/>
      <c r="DI165" s="5"/>
      <c r="DJ165" s="5"/>
      <c r="DK165" s="5"/>
      <c r="DL165" s="5"/>
      <c r="DM165" s="5"/>
      <c r="DN165" s="5"/>
      <c r="DO165" s="5"/>
      <c r="DP165" s="5"/>
      <c r="DQ165" s="5"/>
      <c r="DR165" s="5"/>
      <c r="DS165" s="5"/>
      <c r="DT165" s="5"/>
      <c r="DU165" s="5"/>
      <c r="DV165" s="5"/>
    </row>
    <row r="166" spans="2:126" s="11" customFormat="1" ht="15.75" hidden="1" thickBot="1">
      <c r="B166" s="28">
        <v>46692</v>
      </c>
      <c r="C166" s="32" t="str">
        <f>IFERROR((#REF!/#REF!*1000000),"")</f>
        <v/>
      </c>
      <c r="D166" s="48">
        <f>SEGUIMIENTO!$K$287</f>
        <v>0</v>
      </c>
      <c r="E166" s="32" t="str">
        <f t="shared" si="10"/>
        <v/>
      </c>
      <c r="F166" s="32" t="str">
        <f t="shared" si="11"/>
        <v/>
      </c>
      <c r="G166" s="68" t="str">
        <f t="shared" si="12"/>
        <v/>
      </c>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c r="DA166" s="5"/>
      <c r="DB166" s="5"/>
      <c r="DC166" s="5"/>
      <c r="DD166" s="5"/>
      <c r="DE166" s="5"/>
      <c r="DF166" s="5"/>
      <c r="DG166" s="5"/>
      <c r="DH166" s="5"/>
      <c r="DI166" s="5"/>
      <c r="DJ166" s="5"/>
      <c r="DK166" s="5"/>
      <c r="DL166" s="5"/>
      <c r="DM166" s="5"/>
      <c r="DN166" s="5"/>
      <c r="DO166" s="5"/>
      <c r="DP166" s="5"/>
      <c r="DQ166" s="5"/>
      <c r="DR166" s="5"/>
      <c r="DS166" s="5"/>
      <c r="DT166" s="5"/>
      <c r="DU166" s="5"/>
      <c r="DV166" s="5"/>
    </row>
    <row r="167" spans="2:126" s="11" customFormat="1" ht="15.75" hidden="1" thickBot="1">
      <c r="B167" s="33">
        <v>46722</v>
      </c>
      <c r="C167" s="50" t="str">
        <f>IFERROR((#REF!/#REF!*1000000),"")</f>
        <v/>
      </c>
      <c r="D167" s="49">
        <f>SEGUIMIENTO!$K$287</f>
        <v>0</v>
      </c>
      <c r="E167" s="50" t="str">
        <f t="shared" si="10"/>
        <v/>
      </c>
      <c r="F167" s="50" t="str">
        <f t="shared" si="11"/>
        <v/>
      </c>
      <c r="G167" s="69" t="str">
        <f t="shared" si="12"/>
        <v/>
      </c>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c r="DA167" s="5"/>
      <c r="DB167" s="5"/>
      <c r="DC167" s="5"/>
      <c r="DD167" s="5"/>
      <c r="DE167" s="5"/>
      <c r="DF167" s="5"/>
      <c r="DG167" s="5"/>
      <c r="DH167" s="5"/>
      <c r="DI167" s="5"/>
      <c r="DJ167" s="5"/>
      <c r="DK167" s="5"/>
      <c r="DL167" s="5"/>
      <c r="DM167" s="5"/>
      <c r="DN167" s="5"/>
      <c r="DO167" s="5"/>
      <c r="DP167" s="5"/>
      <c r="DQ167" s="5"/>
      <c r="DR167" s="5"/>
      <c r="DS167" s="5"/>
      <c r="DT167" s="5"/>
      <c r="DU167" s="5"/>
      <c r="DV167" s="5"/>
    </row>
    <row r="168" spans="2:126" s="11" customFormat="1" ht="15.75" hidden="1" thickBot="1">
      <c r="B168" s="34">
        <v>46753</v>
      </c>
      <c r="C168" s="54" t="str">
        <f>IFERROR((#REF!/#REF!*1000000),"")</f>
        <v/>
      </c>
      <c r="D168" s="55">
        <f>SEGUIMIENTO!$L$287</f>
        <v>0</v>
      </c>
      <c r="E168" s="54" t="str">
        <f t="shared" si="10"/>
        <v/>
      </c>
      <c r="F168" s="54" t="str">
        <f t="shared" si="11"/>
        <v/>
      </c>
      <c r="G168" s="70" t="str">
        <f t="shared" si="12"/>
        <v/>
      </c>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c r="CX168" s="5"/>
      <c r="CY168" s="5"/>
      <c r="CZ168" s="5"/>
      <c r="DA168" s="5"/>
      <c r="DB168" s="5"/>
      <c r="DC168" s="5"/>
      <c r="DD168" s="5"/>
      <c r="DE168" s="5"/>
      <c r="DF168" s="5"/>
      <c r="DG168" s="5"/>
      <c r="DH168" s="5"/>
      <c r="DI168" s="5"/>
      <c r="DJ168" s="5"/>
      <c r="DK168" s="5"/>
      <c r="DL168" s="5"/>
      <c r="DM168" s="5"/>
      <c r="DN168" s="5"/>
      <c r="DO168" s="5"/>
      <c r="DP168" s="5"/>
      <c r="DQ168" s="5"/>
      <c r="DR168" s="5"/>
      <c r="DS168" s="5"/>
      <c r="DT168" s="5"/>
      <c r="DU168" s="5"/>
      <c r="DV168" s="5"/>
    </row>
    <row r="169" spans="2:126" s="11" customFormat="1" ht="15.75" hidden="1" thickBot="1">
      <c r="B169" s="28">
        <v>46784</v>
      </c>
      <c r="C169" s="21" t="str">
        <f>IFERROR((#REF!/#REF!*1000000),"")</f>
        <v/>
      </c>
      <c r="D169" s="48">
        <f>SEGUIMIENTO!$L$287</f>
        <v>0</v>
      </c>
      <c r="E169" s="21" t="str">
        <f t="shared" si="10"/>
        <v/>
      </c>
      <c r="F169" s="21" t="str">
        <f t="shared" si="11"/>
        <v/>
      </c>
      <c r="G169" s="68" t="str">
        <f t="shared" si="12"/>
        <v/>
      </c>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c r="CX169" s="5"/>
      <c r="CY169" s="5"/>
      <c r="CZ169" s="5"/>
      <c r="DA169" s="5"/>
      <c r="DB169" s="5"/>
      <c r="DC169" s="5"/>
      <c r="DD169" s="5"/>
      <c r="DE169" s="5"/>
      <c r="DF169" s="5"/>
      <c r="DG169" s="5"/>
      <c r="DH169" s="5"/>
      <c r="DI169" s="5"/>
      <c r="DJ169" s="5"/>
      <c r="DK169" s="5"/>
      <c r="DL169" s="5"/>
      <c r="DM169" s="5"/>
      <c r="DN169" s="5"/>
      <c r="DO169" s="5"/>
      <c r="DP169" s="5"/>
      <c r="DQ169" s="5"/>
      <c r="DR169" s="5"/>
      <c r="DS169" s="5"/>
      <c r="DT169" s="5"/>
      <c r="DU169" s="5"/>
      <c r="DV169" s="5"/>
    </row>
    <row r="170" spans="2:126" s="11" customFormat="1" ht="15.75" hidden="1" thickBot="1">
      <c r="B170" s="28">
        <v>46813</v>
      </c>
      <c r="C170" s="21" t="str">
        <f>IFERROR((#REF!/#REF!*1000000),"")</f>
        <v/>
      </c>
      <c r="D170" s="48">
        <f>SEGUIMIENTO!$L$287</f>
        <v>0</v>
      </c>
      <c r="E170" s="21" t="str">
        <f t="shared" si="10"/>
        <v/>
      </c>
      <c r="F170" s="21" t="str">
        <f t="shared" si="11"/>
        <v/>
      </c>
      <c r="G170" s="68" t="str">
        <f t="shared" si="12"/>
        <v/>
      </c>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c r="DA170" s="5"/>
      <c r="DB170" s="5"/>
      <c r="DC170" s="5"/>
      <c r="DD170" s="5"/>
      <c r="DE170" s="5"/>
      <c r="DF170" s="5"/>
      <c r="DG170" s="5"/>
      <c r="DH170" s="5"/>
      <c r="DI170" s="5"/>
      <c r="DJ170" s="5"/>
      <c r="DK170" s="5"/>
      <c r="DL170" s="5"/>
      <c r="DM170" s="5"/>
      <c r="DN170" s="5"/>
      <c r="DO170" s="5"/>
      <c r="DP170" s="5"/>
      <c r="DQ170" s="5"/>
      <c r="DR170" s="5"/>
      <c r="DS170" s="5"/>
      <c r="DT170" s="5"/>
      <c r="DU170" s="5"/>
      <c r="DV170" s="5"/>
    </row>
    <row r="171" spans="2:126" s="11" customFormat="1" ht="15.75" hidden="1" thickBot="1">
      <c r="B171" s="28">
        <v>46844</v>
      </c>
      <c r="C171" s="21" t="str">
        <f>IFERROR((#REF!/#REF!*1000000),"")</f>
        <v/>
      </c>
      <c r="D171" s="48">
        <f>SEGUIMIENTO!$L$287</f>
        <v>0</v>
      </c>
      <c r="E171" s="21" t="str">
        <f t="shared" si="10"/>
        <v/>
      </c>
      <c r="F171" s="21" t="str">
        <f t="shared" si="11"/>
        <v/>
      </c>
      <c r="G171" s="68" t="str">
        <f t="shared" si="12"/>
        <v/>
      </c>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c r="DA171" s="5"/>
      <c r="DB171" s="5"/>
      <c r="DC171" s="5"/>
      <c r="DD171" s="5"/>
      <c r="DE171" s="5"/>
      <c r="DF171" s="5"/>
      <c r="DG171" s="5"/>
      <c r="DH171" s="5"/>
      <c r="DI171" s="5"/>
      <c r="DJ171" s="5"/>
      <c r="DK171" s="5"/>
      <c r="DL171" s="5"/>
      <c r="DM171" s="5"/>
      <c r="DN171" s="5"/>
      <c r="DO171" s="5"/>
      <c r="DP171" s="5"/>
      <c r="DQ171" s="5"/>
      <c r="DR171" s="5"/>
      <c r="DS171" s="5"/>
      <c r="DT171" s="5"/>
      <c r="DU171" s="5"/>
      <c r="DV171" s="5"/>
    </row>
    <row r="172" spans="2:126" s="11" customFormat="1" ht="15.75" hidden="1" thickBot="1">
      <c r="B172" s="28">
        <v>46874</v>
      </c>
      <c r="C172" s="21" t="str">
        <f>IFERROR((#REF!/#REF!*1000000),"")</f>
        <v/>
      </c>
      <c r="D172" s="48">
        <f>SEGUIMIENTO!$L$287</f>
        <v>0</v>
      </c>
      <c r="E172" s="21" t="str">
        <f t="shared" si="10"/>
        <v/>
      </c>
      <c r="F172" s="21" t="str">
        <f t="shared" si="11"/>
        <v/>
      </c>
      <c r="G172" s="68" t="str">
        <f t="shared" si="12"/>
        <v/>
      </c>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c r="DA172" s="5"/>
      <c r="DB172" s="5"/>
      <c r="DC172" s="5"/>
      <c r="DD172" s="5"/>
      <c r="DE172" s="5"/>
      <c r="DF172" s="5"/>
      <c r="DG172" s="5"/>
      <c r="DH172" s="5"/>
      <c r="DI172" s="5"/>
      <c r="DJ172" s="5"/>
      <c r="DK172" s="5"/>
      <c r="DL172" s="5"/>
      <c r="DM172" s="5"/>
      <c r="DN172" s="5"/>
      <c r="DO172" s="5"/>
      <c r="DP172" s="5"/>
      <c r="DQ172" s="5"/>
      <c r="DR172" s="5"/>
      <c r="DS172" s="5"/>
      <c r="DT172" s="5"/>
      <c r="DU172" s="5"/>
      <c r="DV172" s="5"/>
    </row>
    <row r="173" spans="2:126" s="11" customFormat="1" ht="15.75" hidden="1" thickBot="1">
      <c r="B173" s="28">
        <v>46905</v>
      </c>
      <c r="C173" s="21" t="str">
        <f>IFERROR((#REF!/#REF!*1000000),"")</f>
        <v/>
      </c>
      <c r="D173" s="48">
        <f>SEGUIMIENTO!$L$287</f>
        <v>0</v>
      </c>
      <c r="E173" s="21" t="str">
        <f t="shared" si="10"/>
        <v/>
      </c>
      <c r="F173" s="21" t="str">
        <f t="shared" si="11"/>
        <v/>
      </c>
      <c r="G173" s="68" t="str">
        <f t="shared" si="12"/>
        <v/>
      </c>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c r="DA173" s="5"/>
      <c r="DB173" s="5"/>
      <c r="DC173" s="5"/>
      <c r="DD173" s="5"/>
      <c r="DE173" s="5"/>
      <c r="DF173" s="5"/>
      <c r="DG173" s="5"/>
      <c r="DH173" s="5"/>
      <c r="DI173" s="5"/>
      <c r="DJ173" s="5"/>
      <c r="DK173" s="5"/>
      <c r="DL173" s="5"/>
      <c r="DM173" s="5"/>
      <c r="DN173" s="5"/>
      <c r="DO173" s="5"/>
      <c r="DP173" s="5"/>
      <c r="DQ173" s="5"/>
      <c r="DR173" s="5"/>
      <c r="DS173" s="5"/>
      <c r="DT173" s="5"/>
      <c r="DU173" s="5"/>
      <c r="DV173" s="5"/>
    </row>
    <row r="174" spans="2:126" s="11" customFormat="1" ht="15.75" hidden="1" thickBot="1">
      <c r="B174" s="28">
        <v>46935</v>
      </c>
      <c r="C174" s="21" t="str">
        <f>IFERROR((#REF!/#REF!*1000000),"")</f>
        <v/>
      </c>
      <c r="D174" s="48">
        <f>SEGUIMIENTO!$L$287</f>
        <v>0</v>
      </c>
      <c r="E174" s="21" t="str">
        <f t="shared" si="10"/>
        <v/>
      </c>
      <c r="F174" s="21" t="str">
        <f t="shared" si="11"/>
        <v/>
      </c>
      <c r="G174" s="68" t="str">
        <f t="shared" si="12"/>
        <v/>
      </c>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c r="DA174" s="5"/>
      <c r="DB174" s="5"/>
      <c r="DC174" s="5"/>
      <c r="DD174" s="5"/>
      <c r="DE174" s="5"/>
      <c r="DF174" s="5"/>
      <c r="DG174" s="5"/>
      <c r="DH174" s="5"/>
      <c r="DI174" s="5"/>
      <c r="DJ174" s="5"/>
      <c r="DK174" s="5"/>
      <c r="DL174" s="5"/>
      <c r="DM174" s="5"/>
      <c r="DN174" s="5"/>
      <c r="DO174" s="5"/>
      <c r="DP174" s="5"/>
      <c r="DQ174" s="5"/>
      <c r="DR174" s="5"/>
      <c r="DS174" s="5"/>
      <c r="DT174" s="5"/>
      <c r="DU174" s="5"/>
      <c r="DV174" s="5"/>
    </row>
    <row r="175" spans="2:126" s="11" customFormat="1" ht="15.75" hidden="1" thickBot="1">
      <c r="B175" s="28">
        <v>46966</v>
      </c>
      <c r="C175" s="21" t="str">
        <f>IFERROR((#REF!/#REF!*1000000),"")</f>
        <v/>
      </c>
      <c r="D175" s="48">
        <f>SEGUIMIENTO!$L$287</f>
        <v>0</v>
      </c>
      <c r="E175" s="21" t="str">
        <f t="shared" si="10"/>
        <v/>
      </c>
      <c r="F175" s="21" t="str">
        <f t="shared" si="11"/>
        <v/>
      </c>
      <c r="G175" s="68" t="str">
        <f t="shared" si="12"/>
        <v/>
      </c>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c r="CX175" s="5"/>
      <c r="CY175" s="5"/>
      <c r="CZ175" s="5"/>
      <c r="DA175" s="5"/>
      <c r="DB175" s="5"/>
      <c r="DC175" s="5"/>
      <c r="DD175" s="5"/>
      <c r="DE175" s="5"/>
      <c r="DF175" s="5"/>
      <c r="DG175" s="5"/>
      <c r="DH175" s="5"/>
      <c r="DI175" s="5"/>
      <c r="DJ175" s="5"/>
      <c r="DK175" s="5"/>
      <c r="DL175" s="5"/>
      <c r="DM175" s="5"/>
      <c r="DN175" s="5"/>
      <c r="DO175" s="5"/>
      <c r="DP175" s="5"/>
      <c r="DQ175" s="5"/>
      <c r="DR175" s="5"/>
      <c r="DS175" s="5"/>
      <c r="DT175" s="5"/>
      <c r="DU175" s="5"/>
      <c r="DV175" s="5"/>
    </row>
    <row r="176" spans="2:126" s="11" customFormat="1" ht="15.75" hidden="1" thickBot="1">
      <c r="B176" s="28">
        <v>46997</v>
      </c>
      <c r="C176" s="21" t="str">
        <f>IFERROR((#REF!/#REF!*1000000),"")</f>
        <v/>
      </c>
      <c r="D176" s="48">
        <f>SEGUIMIENTO!$L$287</f>
        <v>0</v>
      </c>
      <c r="E176" s="21" t="str">
        <f t="shared" si="10"/>
        <v/>
      </c>
      <c r="F176" s="21" t="str">
        <f t="shared" si="11"/>
        <v/>
      </c>
      <c r="G176" s="68" t="str">
        <f t="shared" si="12"/>
        <v/>
      </c>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c r="CX176" s="5"/>
      <c r="CY176" s="5"/>
      <c r="CZ176" s="5"/>
      <c r="DA176" s="5"/>
      <c r="DB176" s="5"/>
      <c r="DC176" s="5"/>
      <c r="DD176" s="5"/>
      <c r="DE176" s="5"/>
      <c r="DF176" s="5"/>
      <c r="DG176" s="5"/>
      <c r="DH176" s="5"/>
      <c r="DI176" s="5"/>
      <c r="DJ176" s="5"/>
      <c r="DK176" s="5"/>
      <c r="DL176" s="5"/>
      <c r="DM176" s="5"/>
      <c r="DN176" s="5"/>
      <c r="DO176" s="5"/>
      <c r="DP176" s="5"/>
      <c r="DQ176" s="5"/>
      <c r="DR176" s="5"/>
      <c r="DS176" s="5"/>
      <c r="DT176" s="5"/>
      <c r="DU176" s="5"/>
      <c r="DV176" s="5"/>
    </row>
    <row r="177" spans="2:126" s="11" customFormat="1" ht="15.75" hidden="1" thickBot="1">
      <c r="B177" s="28">
        <v>47027</v>
      </c>
      <c r="C177" s="21" t="str">
        <f>IFERROR((#REF!/#REF!*1000000),"")</f>
        <v/>
      </c>
      <c r="D177" s="48">
        <f>SEGUIMIENTO!$L$287</f>
        <v>0</v>
      </c>
      <c r="E177" s="21" t="str">
        <f t="shared" si="10"/>
        <v/>
      </c>
      <c r="F177" s="21" t="str">
        <f t="shared" si="11"/>
        <v/>
      </c>
      <c r="G177" s="68" t="str">
        <f t="shared" si="12"/>
        <v/>
      </c>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c r="DA177" s="5"/>
      <c r="DB177" s="5"/>
      <c r="DC177" s="5"/>
      <c r="DD177" s="5"/>
      <c r="DE177" s="5"/>
      <c r="DF177" s="5"/>
      <c r="DG177" s="5"/>
      <c r="DH177" s="5"/>
      <c r="DI177" s="5"/>
      <c r="DJ177" s="5"/>
      <c r="DK177" s="5"/>
      <c r="DL177" s="5"/>
      <c r="DM177" s="5"/>
      <c r="DN177" s="5"/>
      <c r="DO177" s="5"/>
      <c r="DP177" s="5"/>
      <c r="DQ177" s="5"/>
      <c r="DR177" s="5"/>
      <c r="DS177" s="5"/>
      <c r="DT177" s="5"/>
      <c r="DU177" s="5"/>
      <c r="DV177" s="5"/>
    </row>
    <row r="178" spans="2:126" s="11" customFormat="1" ht="15.75" hidden="1" thickBot="1">
      <c r="B178" s="28">
        <v>47058</v>
      </c>
      <c r="C178" s="32" t="str">
        <f>IFERROR((#REF!/#REF!*1000000),"")</f>
        <v/>
      </c>
      <c r="D178" s="48">
        <f>SEGUIMIENTO!$L$287</f>
        <v>0</v>
      </c>
      <c r="E178" s="32" t="str">
        <f t="shared" si="10"/>
        <v/>
      </c>
      <c r="F178" s="32" t="str">
        <f t="shared" si="11"/>
        <v/>
      </c>
      <c r="G178" s="68" t="str">
        <f t="shared" si="12"/>
        <v/>
      </c>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c r="CX178" s="5"/>
      <c r="CY178" s="5"/>
      <c r="CZ178" s="5"/>
      <c r="DA178" s="5"/>
      <c r="DB178" s="5"/>
      <c r="DC178" s="5"/>
      <c r="DD178" s="5"/>
      <c r="DE178" s="5"/>
      <c r="DF178" s="5"/>
      <c r="DG178" s="5"/>
      <c r="DH178" s="5"/>
      <c r="DI178" s="5"/>
      <c r="DJ178" s="5"/>
      <c r="DK178" s="5"/>
      <c r="DL178" s="5"/>
      <c r="DM178" s="5"/>
      <c r="DN178" s="5"/>
      <c r="DO178" s="5"/>
      <c r="DP178" s="5"/>
      <c r="DQ178" s="5"/>
      <c r="DR178" s="5"/>
      <c r="DS178" s="5"/>
      <c r="DT178" s="5"/>
      <c r="DU178" s="5"/>
      <c r="DV178" s="5"/>
    </row>
    <row r="179" spans="2:126" s="11" customFormat="1" ht="15.75" hidden="1" thickBot="1">
      <c r="B179" s="30">
        <v>47088</v>
      </c>
      <c r="C179" s="63" t="str">
        <f>IFERROR((#REF!/#REF!*1000000),"")</f>
        <v/>
      </c>
      <c r="D179" s="62">
        <f>SEGUIMIENTO!$L$287</f>
        <v>0</v>
      </c>
      <c r="E179" s="63" t="str">
        <f t="shared" si="10"/>
        <v/>
      </c>
      <c r="F179" s="63" t="str">
        <f t="shared" si="11"/>
        <v/>
      </c>
      <c r="G179" s="71" t="str">
        <f t="shared" si="12"/>
        <v/>
      </c>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c r="DA179" s="5"/>
      <c r="DB179" s="5"/>
      <c r="DC179" s="5"/>
      <c r="DD179" s="5"/>
      <c r="DE179" s="5"/>
      <c r="DF179" s="5"/>
      <c r="DG179" s="5"/>
      <c r="DH179" s="5"/>
      <c r="DI179" s="5"/>
      <c r="DJ179" s="5"/>
      <c r="DK179" s="5"/>
      <c r="DL179" s="5"/>
      <c r="DM179" s="5"/>
      <c r="DN179" s="5"/>
      <c r="DO179" s="5"/>
      <c r="DP179" s="5"/>
      <c r="DQ179" s="5"/>
      <c r="DR179" s="5"/>
      <c r="DS179" s="5"/>
      <c r="DT179" s="5"/>
      <c r="DU179" s="5"/>
      <c r="DV179" s="5"/>
    </row>
    <row r="180" spans="2:126">
      <c r="B180" s="35"/>
      <c r="C180" s="72"/>
      <c r="D180" s="72"/>
      <c r="E180" s="36"/>
      <c r="F180" s="36"/>
      <c r="G180" s="73"/>
    </row>
    <row r="181" spans="2:126" s="11" customFormat="1" hidden="1">
      <c r="B181" s="37" t="s">
        <v>318</v>
      </c>
      <c r="C181" s="74" t="str">
        <f>IFERROR((#REF!/#REF!*1000000),"")</f>
        <v/>
      </c>
      <c r="D181" s="74">
        <f>SEGUIMIENTO!$B$289</f>
        <v>0</v>
      </c>
      <c r="E181" s="74" t="str">
        <f t="shared" ref="E181:E244" si="14">IFERROR(IF(C181&gt;=D181,C181,""),"")</f>
        <v/>
      </c>
      <c r="F181" s="74" t="str">
        <f t="shared" ref="F181:F244" si="15">IFERROR(IF(C181&lt;D181,C181,""),"")</f>
        <v/>
      </c>
      <c r="G181" s="7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c r="DA181" s="5"/>
      <c r="DB181" s="5"/>
      <c r="DC181" s="5"/>
      <c r="DD181" s="5"/>
      <c r="DE181" s="5"/>
      <c r="DF181" s="5"/>
      <c r="DG181" s="5"/>
      <c r="DH181" s="5"/>
      <c r="DI181" s="5"/>
      <c r="DJ181" s="5"/>
      <c r="DK181" s="5"/>
      <c r="DL181" s="5"/>
      <c r="DM181" s="5"/>
      <c r="DN181" s="5"/>
      <c r="DO181" s="5"/>
      <c r="DP181" s="5"/>
      <c r="DQ181" s="5"/>
      <c r="DR181" s="5"/>
      <c r="DS181" s="5"/>
      <c r="DT181" s="5"/>
      <c r="DU181" s="5"/>
      <c r="DV181" s="5"/>
    </row>
    <row r="182" spans="2:126" s="11" customFormat="1" hidden="1">
      <c r="B182" s="38" t="s">
        <v>319</v>
      </c>
      <c r="C182" s="76" t="str">
        <f>IFERROR((#REF!/#REF!*1000000),"")</f>
        <v/>
      </c>
      <c r="D182" s="76">
        <f>SEGUIMIENTO!$B$289</f>
        <v>0</v>
      </c>
      <c r="E182" s="76" t="str">
        <f t="shared" si="14"/>
        <v/>
      </c>
      <c r="F182" s="76" t="str">
        <f t="shared" si="15"/>
        <v/>
      </c>
      <c r="G182" s="77"/>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c r="DA182" s="5"/>
      <c r="DB182" s="5"/>
      <c r="DC182" s="5"/>
      <c r="DD182" s="5"/>
      <c r="DE182" s="5"/>
      <c r="DF182" s="5"/>
      <c r="DG182" s="5"/>
      <c r="DH182" s="5"/>
      <c r="DI182" s="5"/>
      <c r="DJ182" s="5"/>
      <c r="DK182" s="5"/>
      <c r="DL182" s="5"/>
      <c r="DM182" s="5"/>
      <c r="DN182" s="5"/>
      <c r="DO182" s="5"/>
      <c r="DP182" s="5"/>
      <c r="DQ182" s="5"/>
      <c r="DR182" s="5"/>
      <c r="DS182" s="5"/>
      <c r="DT182" s="5"/>
      <c r="DU182" s="5"/>
      <c r="DV182" s="5"/>
    </row>
    <row r="183" spans="2:126" s="11" customFormat="1" hidden="1">
      <c r="B183" s="38" t="s">
        <v>320</v>
      </c>
      <c r="C183" s="76" t="str">
        <f>IFERROR((#REF!/#REF!*1000000),"")</f>
        <v/>
      </c>
      <c r="D183" s="76">
        <f>SEGUIMIENTO!$B$289</f>
        <v>0</v>
      </c>
      <c r="E183" s="76" t="str">
        <f t="shared" si="14"/>
        <v/>
      </c>
      <c r="F183" s="76" t="str">
        <f t="shared" si="15"/>
        <v/>
      </c>
      <c r="G183" s="77"/>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c r="DA183" s="5"/>
      <c r="DB183" s="5"/>
      <c r="DC183" s="5"/>
      <c r="DD183" s="5"/>
      <c r="DE183" s="5"/>
      <c r="DF183" s="5"/>
      <c r="DG183" s="5"/>
      <c r="DH183" s="5"/>
      <c r="DI183" s="5"/>
      <c r="DJ183" s="5"/>
      <c r="DK183" s="5"/>
      <c r="DL183" s="5"/>
      <c r="DM183" s="5"/>
      <c r="DN183" s="5"/>
      <c r="DO183" s="5"/>
      <c r="DP183" s="5"/>
      <c r="DQ183" s="5"/>
      <c r="DR183" s="5"/>
      <c r="DS183" s="5"/>
      <c r="DT183" s="5"/>
      <c r="DU183" s="5"/>
      <c r="DV183" s="5"/>
    </row>
    <row r="184" spans="2:126" s="11" customFormat="1" hidden="1">
      <c r="B184" s="38" t="s">
        <v>321</v>
      </c>
      <c r="C184" s="76" t="str">
        <f>IFERROR((#REF!/#REF!*1000000),"")</f>
        <v/>
      </c>
      <c r="D184" s="76">
        <f>SEGUIMIENTO!$B$289</f>
        <v>0</v>
      </c>
      <c r="E184" s="76" t="str">
        <f t="shared" si="14"/>
        <v/>
      </c>
      <c r="F184" s="76" t="str">
        <f t="shared" si="15"/>
        <v/>
      </c>
      <c r="G184" s="77"/>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c r="DA184" s="5"/>
      <c r="DB184" s="5"/>
      <c r="DC184" s="5"/>
      <c r="DD184" s="5"/>
      <c r="DE184" s="5"/>
      <c r="DF184" s="5"/>
      <c r="DG184" s="5"/>
      <c r="DH184" s="5"/>
      <c r="DI184" s="5"/>
      <c r="DJ184" s="5"/>
      <c r="DK184" s="5"/>
      <c r="DL184" s="5"/>
      <c r="DM184" s="5"/>
      <c r="DN184" s="5"/>
      <c r="DO184" s="5"/>
      <c r="DP184" s="5"/>
      <c r="DQ184" s="5"/>
      <c r="DR184" s="5"/>
      <c r="DS184" s="5"/>
      <c r="DT184" s="5"/>
      <c r="DU184" s="5"/>
      <c r="DV184" s="5"/>
    </row>
    <row r="185" spans="2:126" s="11" customFormat="1" hidden="1">
      <c r="B185" s="38" t="s">
        <v>322</v>
      </c>
      <c r="C185" s="76" t="str">
        <f>IFERROR((#REF!/#REF!*1000000),"")</f>
        <v/>
      </c>
      <c r="D185" s="76">
        <f>SEGUIMIENTO!$B$289</f>
        <v>0</v>
      </c>
      <c r="E185" s="76" t="str">
        <f t="shared" si="14"/>
        <v/>
      </c>
      <c r="F185" s="76" t="str">
        <f t="shared" si="15"/>
        <v/>
      </c>
      <c r="G185" s="77"/>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c r="CX185" s="5"/>
      <c r="CY185" s="5"/>
      <c r="CZ185" s="5"/>
      <c r="DA185" s="5"/>
      <c r="DB185" s="5"/>
      <c r="DC185" s="5"/>
      <c r="DD185" s="5"/>
      <c r="DE185" s="5"/>
      <c r="DF185" s="5"/>
      <c r="DG185" s="5"/>
      <c r="DH185" s="5"/>
      <c r="DI185" s="5"/>
      <c r="DJ185" s="5"/>
      <c r="DK185" s="5"/>
      <c r="DL185" s="5"/>
      <c r="DM185" s="5"/>
      <c r="DN185" s="5"/>
      <c r="DO185" s="5"/>
      <c r="DP185" s="5"/>
      <c r="DQ185" s="5"/>
      <c r="DR185" s="5"/>
      <c r="DS185" s="5"/>
      <c r="DT185" s="5"/>
      <c r="DU185" s="5"/>
      <c r="DV185" s="5"/>
    </row>
    <row r="186" spans="2:126" s="11" customFormat="1" hidden="1">
      <c r="B186" s="38" t="s">
        <v>323</v>
      </c>
      <c r="C186" s="76" t="str">
        <f>IFERROR((#REF!/#REF!*1000000),"")</f>
        <v/>
      </c>
      <c r="D186" s="76">
        <f>SEGUIMIENTO!$B$289</f>
        <v>0</v>
      </c>
      <c r="E186" s="76" t="str">
        <f t="shared" si="14"/>
        <v/>
      </c>
      <c r="F186" s="76" t="str">
        <f t="shared" si="15"/>
        <v/>
      </c>
      <c r="G186" s="77"/>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c r="DA186" s="5"/>
      <c r="DB186" s="5"/>
      <c r="DC186" s="5"/>
      <c r="DD186" s="5"/>
      <c r="DE186" s="5"/>
      <c r="DF186" s="5"/>
      <c r="DG186" s="5"/>
      <c r="DH186" s="5"/>
      <c r="DI186" s="5"/>
      <c r="DJ186" s="5"/>
      <c r="DK186" s="5"/>
      <c r="DL186" s="5"/>
      <c r="DM186" s="5"/>
      <c r="DN186" s="5"/>
      <c r="DO186" s="5"/>
      <c r="DP186" s="5"/>
      <c r="DQ186" s="5"/>
      <c r="DR186" s="5"/>
      <c r="DS186" s="5"/>
      <c r="DT186" s="5"/>
      <c r="DU186" s="5"/>
      <c r="DV186" s="5"/>
    </row>
    <row r="187" spans="2:126" s="11" customFormat="1" hidden="1">
      <c r="B187" s="38" t="s">
        <v>324</v>
      </c>
      <c r="C187" s="76" t="str">
        <f>IFERROR((#REF!/#REF!*1000000),"")</f>
        <v/>
      </c>
      <c r="D187" s="76">
        <f>SEGUIMIENTO!$B$289</f>
        <v>0</v>
      </c>
      <c r="E187" s="76" t="str">
        <f t="shared" si="14"/>
        <v/>
      </c>
      <c r="F187" s="76" t="str">
        <f t="shared" si="15"/>
        <v/>
      </c>
      <c r="G187" s="77"/>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c r="DA187" s="5"/>
      <c r="DB187" s="5"/>
      <c r="DC187" s="5"/>
      <c r="DD187" s="5"/>
      <c r="DE187" s="5"/>
      <c r="DF187" s="5"/>
      <c r="DG187" s="5"/>
      <c r="DH187" s="5"/>
      <c r="DI187" s="5"/>
      <c r="DJ187" s="5"/>
      <c r="DK187" s="5"/>
      <c r="DL187" s="5"/>
      <c r="DM187" s="5"/>
      <c r="DN187" s="5"/>
      <c r="DO187" s="5"/>
      <c r="DP187" s="5"/>
      <c r="DQ187" s="5"/>
      <c r="DR187" s="5"/>
      <c r="DS187" s="5"/>
      <c r="DT187" s="5"/>
      <c r="DU187" s="5"/>
      <c r="DV187" s="5"/>
    </row>
    <row r="188" spans="2:126" s="11" customFormat="1" hidden="1">
      <c r="B188" s="38" t="s">
        <v>325</v>
      </c>
      <c r="C188" s="76" t="str">
        <f>IFERROR((#REF!/#REF!*1000000),"")</f>
        <v/>
      </c>
      <c r="D188" s="76">
        <f>SEGUIMIENTO!$B$289</f>
        <v>0</v>
      </c>
      <c r="E188" s="76" t="str">
        <f t="shared" si="14"/>
        <v/>
      </c>
      <c r="F188" s="76" t="str">
        <f t="shared" si="15"/>
        <v/>
      </c>
      <c r="G188" s="77"/>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c r="DA188" s="5"/>
      <c r="DB188" s="5"/>
      <c r="DC188" s="5"/>
      <c r="DD188" s="5"/>
      <c r="DE188" s="5"/>
      <c r="DF188" s="5"/>
      <c r="DG188" s="5"/>
      <c r="DH188" s="5"/>
      <c r="DI188" s="5"/>
      <c r="DJ188" s="5"/>
      <c r="DK188" s="5"/>
      <c r="DL188" s="5"/>
      <c r="DM188" s="5"/>
      <c r="DN188" s="5"/>
      <c r="DO188" s="5"/>
      <c r="DP188" s="5"/>
      <c r="DQ188" s="5"/>
      <c r="DR188" s="5"/>
      <c r="DS188" s="5"/>
      <c r="DT188" s="5"/>
      <c r="DU188" s="5"/>
      <c r="DV188" s="5"/>
    </row>
    <row r="189" spans="2:126" s="11" customFormat="1" hidden="1">
      <c r="B189" s="38" t="s">
        <v>326</v>
      </c>
      <c r="C189" s="76" t="str">
        <f>IFERROR((#REF!/#REF!*1000000),"")</f>
        <v/>
      </c>
      <c r="D189" s="76">
        <f>SEGUIMIENTO!$B$289</f>
        <v>0</v>
      </c>
      <c r="E189" s="76" t="str">
        <f t="shared" si="14"/>
        <v/>
      </c>
      <c r="F189" s="76" t="str">
        <f t="shared" si="15"/>
        <v/>
      </c>
      <c r="G189" s="77"/>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c r="CX189" s="5"/>
      <c r="CY189" s="5"/>
      <c r="CZ189" s="5"/>
      <c r="DA189" s="5"/>
      <c r="DB189" s="5"/>
      <c r="DC189" s="5"/>
      <c r="DD189" s="5"/>
      <c r="DE189" s="5"/>
      <c r="DF189" s="5"/>
      <c r="DG189" s="5"/>
      <c r="DH189" s="5"/>
      <c r="DI189" s="5"/>
      <c r="DJ189" s="5"/>
      <c r="DK189" s="5"/>
      <c r="DL189" s="5"/>
      <c r="DM189" s="5"/>
      <c r="DN189" s="5"/>
      <c r="DO189" s="5"/>
      <c r="DP189" s="5"/>
      <c r="DQ189" s="5"/>
      <c r="DR189" s="5"/>
      <c r="DS189" s="5"/>
      <c r="DT189" s="5"/>
      <c r="DU189" s="5"/>
      <c r="DV189" s="5"/>
    </row>
    <row r="190" spans="2:126" s="11" customFormat="1" hidden="1">
      <c r="B190" s="38" t="s">
        <v>327</v>
      </c>
      <c r="C190" s="76" t="str">
        <f>IFERROR((#REF!/#REF!*1000000),"")</f>
        <v/>
      </c>
      <c r="D190" s="76">
        <f>SEGUIMIENTO!$B$289</f>
        <v>0</v>
      </c>
      <c r="E190" s="76" t="str">
        <f t="shared" si="14"/>
        <v/>
      </c>
      <c r="F190" s="76" t="str">
        <f t="shared" si="15"/>
        <v/>
      </c>
      <c r="G190" s="77"/>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c r="DA190" s="5"/>
      <c r="DB190" s="5"/>
      <c r="DC190" s="5"/>
      <c r="DD190" s="5"/>
      <c r="DE190" s="5"/>
      <c r="DF190" s="5"/>
      <c r="DG190" s="5"/>
      <c r="DH190" s="5"/>
      <c r="DI190" s="5"/>
      <c r="DJ190" s="5"/>
      <c r="DK190" s="5"/>
      <c r="DL190" s="5"/>
      <c r="DM190" s="5"/>
      <c r="DN190" s="5"/>
      <c r="DO190" s="5"/>
      <c r="DP190" s="5"/>
      <c r="DQ190" s="5"/>
      <c r="DR190" s="5"/>
      <c r="DS190" s="5"/>
      <c r="DT190" s="5"/>
      <c r="DU190" s="5"/>
      <c r="DV190" s="5"/>
    </row>
    <row r="191" spans="2:126" s="11" customFormat="1" hidden="1">
      <c r="B191" s="38" t="s">
        <v>328</v>
      </c>
      <c r="C191" s="76" t="str">
        <f>IFERROR((#REF!/#REF!*1000000),"")</f>
        <v/>
      </c>
      <c r="D191" s="76">
        <f>SEGUIMIENTO!$B$289</f>
        <v>0</v>
      </c>
      <c r="E191" s="76" t="str">
        <f t="shared" si="14"/>
        <v/>
      </c>
      <c r="F191" s="76" t="str">
        <f t="shared" si="15"/>
        <v/>
      </c>
      <c r="G191" s="77"/>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c r="CX191" s="5"/>
      <c r="CY191" s="5"/>
      <c r="CZ191" s="5"/>
      <c r="DA191" s="5"/>
      <c r="DB191" s="5"/>
      <c r="DC191" s="5"/>
      <c r="DD191" s="5"/>
      <c r="DE191" s="5"/>
      <c r="DF191" s="5"/>
      <c r="DG191" s="5"/>
      <c r="DH191" s="5"/>
      <c r="DI191" s="5"/>
      <c r="DJ191" s="5"/>
      <c r="DK191" s="5"/>
      <c r="DL191" s="5"/>
      <c r="DM191" s="5"/>
      <c r="DN191" s="5"/>
      <c r="DO191" s="5"/>
      <c r="DP191" s="5"/>
      <c r="DQ191" s="5"/>
      <c r="DR191" s="5"/>
      <c r="DS191" s="5"/>
      <c r="DT191" s="5"/>
      <c r="DU191" s="5"/>
      <c r="DV191" s="5"/>
    </row>
    <row r="192" spans="2:126" s="11" customFormat="1" hidden="1">
      <c r="B192" s="38" t="s">
        <v>329</v>
      </c>
      <c r="C192" s="76" t="str">
        <f>IFERROR((#REF!/#REF!*1000000),"")</f>
        <v/>
      </c>
      <c r="D192" s="76">
        <f>SEGUIMIENTO!$B$289</f>
        <v>0</v>
      </c>
      <c r="E192" s="76" t="str">
        <f t="shared" si="14"/>
        <v/>
      </c>
      <c r="F192" s="76" t="str">
        <f t="shared" si="15"/>
        <v/>
      </c>
      <c r="G192" s="77"/>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c r="DA192" s="5"/>
      <c r="DB192" s="5"/>
      <c r="DC192" s="5"/>
      <c r="DD192" s="5"/>
      <c r="DE192" s="5"/>
      <c r="DF192" s="5"/>
      <c r="DG192" s="5"/>
      <c r="DH192" s="5"/>
      <c r="DI192" s="5"/>
      <c r="DJ192" s="5"/>
      <c r="DK192" s="5"/>
      <c r="DL192" s="5"/>
      <c r="DM192" s="5"/>
      <c r="DN192" s="5"/>
      <c r="DO192" s="5"/>
      <c r="DP192" s="5"/>
      <c r="DQ192" s="5"/>
      <c r="DR192" s="5"/>
      <c r="DS192" s="5"/>
      <c r="DT192" s="5"/>
      <c r="DU192" s="5"/>
      <c r="DV192" s="5"/>
    </row>
    <row r="193" spans="2:126" s="11" customFormat="1" hidden="1">
      <c r="B193" s="38" t="s">
        <v>330</v>
      </c>
      <c r="C193" s="76" t="str">
        <f>IFERROR((#REF!/#REF!*1000000),"")</f>
        <v/>
      </c>
      <c r="D193" s="76">
        <f>SEGUIMIENTO!$B$289</f>
        <v>0</v>
      </c>
      <c r="E193" s="76" t="str">
        <f t="shared" si="14"/>
        <v/>
      </c>
      <c r="F193" s="76" t="str">
        <f t="shared" si="15"/>
        <v/>
      </c>
      <c r="G193" s="77"/>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c r="DA193" s="5"/>
      <c r="DB193" s="5"/>
      <c r="DC193" s="5"/>
      <c r="DD193" s="5"/>
      <c r="DE193" s="5"/>
      <c r="DF193" s="5"/>
      <c r="DG193" s="5"/>
      <c r="DH193" s="5"/>
      <c r="DI193" s="5"/>
      <c r="DJ193" s="5"/>
      <c r="DK193" s="5"/>
      <c r="DL193" s="5"/>
      <c r="DM193" s="5"/>
      <c r="DN193" s="5"/>
      <c r="DO193" s="5"/>
      <c r="DP193" s="5"/>
      <c r="DQ193" s="5"/>
      <c r="DR193" s="5"/>
      <c r="DS193" s="5"/>
      <c r="DT193" s="5"/>
      <c r="DU193" s="5"/>
      <c r="DV193" s="5"/>
    </row>
    <row r="194" spans="2:126" s="11" customFormat="1" hidden="1">
      <c r="B194" s="38" t="s">
        <v>331</v>
      </c>
      <c r="C194" s="76" t="str">
        <f>IFERROR((#REF!/#REF!*1000000),"")</f>
        <v/>
      </c>
      <c r="D194" s="76">
        <f>SEGUIMIENTO!$B$289</f>
        <v>0</v>
      </c>
      <c r="E194" s="76" t="str">
        <f t="shared" si="14"/>
        <v/>
      </c>
      <c r="F194" s="76" t="str">
        <f t="shared" si="15"/>
        <v/>
      </c>
      <c r="G194" s="77"/>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c r="DA194" s="5"/>
      <c r="DB194" s="5"/>
      <c r="DC194" s="5"/>
      <c r="DD194" s="5"/>
      <c r="DE194" s="5"/>
      <c r="DF194" s="5"/>
      <c r="DG194" s="5"/>
      <c r="DH194" s="5"/>
      <c r="DI194" s="5"/>
      <c r="DJ194" s="5"/>
      <c r="DK194" s="5"/>
      <c r="DL194" s="5"/>
      <c r="DM194" s="5"/>
      <c r="DN194" s="5"/>
      <c r="DO194" s="5"/>
      <c r="DP194" s="5"/>
      <c r="DQ194" s="5"/>
      <c r="DR194" s="5"/>
      <c r="DS194" s="5"/>
      <c r="DT194" s="5"/>
      <c r="DU194" s="5"/>
      <c r="DV194" s="5"/>
    </row>
    <row r="195" spans="2:126" s="11" customFormat="1" hidden="1">
      <c r="B195" s="38" t="s">
        <v>332</v>
      </c>
      <c r="C195" s="76" t="str">
        <f>IFERROR((#REF!/#REF!*1000000),"")</f>
        <v/>
      </c>
      <c r="D195" s="76">
        <f>SEGUIMIENTO!$B$289</f>
        <v>0</v>
      </c>
      <c r="E195" s="76" t="str">
        <f t="shared" si="14"/>
        <v/>
      </c>
      <c r="F195" s="76" t="str">
        <f t="shared" si="15"/>
        <v/>
      </c>
      <c r="G195" s="77"/>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c r="CX195" s="5"/>
      <c r="CY195" s="5"/>
      <c r="CZ195" s="5"/>
      <c r="DA195" s="5"/>
      <c r="DB195" s="5"/>
      <c r="DC195" s="5"/>
      <c r="DD195" s="5"/>
      <c r="DE195" s="5"/>
      <c r="DF195" s="5"/>
      <c r="DG195" s="5"/>
      <c r="DH195" s="5"/>
      <c r="DI195" s="5"/>
      <c r="DJ195" s="5"/>
      <c r="DK195" s="5"/>
      <c r="DL195" s="5"/>
      <c r="DM195" s="5"/>
      <c r="DN195" s="5"/>
      <c r="DO195" s="5"/>
      <c r="DP195" s="5"/>
      <c r="DQ195" s="5"/>
      <c r="DR195" s="5"/>
      <c r="DS195" s="5"/>
      <c r="DT195" s="5"/>
      <c r="DU195" s="5"/>
      <c r="DV195" s="5"/>
    </row>
    <row r="196" spans="2:126" s="11" customFormat="1" hidden="1">
      <c r="B196" s="38" t="s">
        <v>333</v>
      </c>
      <c r="C196" s="76" t="str">
        <f>IFERROR((#REF!/#REF!*1000000),"")</f>
        <v/>
      </c>
      <c r="D196" s="76">
        <f>SEGUIMIENTO!$B$289</f>
        <v>0</v>
      </c>
      <c r="E196" s="76" t="str">
        <f t="shared" si="14"/>
        <v/>
      </c>
      <c r="F196" s="76" t="str">
        <f t="shared" si="15"/>
        <v/>
      </c>
      <c r="G196" s="77"/>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c r="CX196" s="5"/>
      <c r="CY196" s="5"/>
      <c r="CZ196" s="5"/>
      <c r="DA196" s="5"/>
      <c r="DB196" s="5"/>
      <c r="DC196" s="5"/>
      <c r="DD196" s="5"/>
      <c r="DE196" s="5"/>
      <c r="DF196" s="5"/>
      <c r="DG196" s="5"/>
      <c r="DH196" s="5"/>
      <c r="DI196" s="5"/>
      <c r="DJ196" s="5"/>
      <c r="DK196" s="5"/>
      <c r="DL196" s="5"/>
      <c r="DM196" s="5"/>
      <c r="DN196" s="5"/>
      <c r="DO196" s="5"/>
      <c r="DP196" s="5"/>
      <c r="DQ196" s="5"/>
      <c r="DR196" s="5"/>
      <c r="DS196" s="5"/>
      <c r="DT196" s="5"/>
      <c r="DU196" s="5"/>
      <c r="DV196" s="5"/>
    </row>
    <row r="197" spans="2:126" s="11" customFormat="1" hidden="1">
      <c r="B197" s="38" t="s">
        <v>334</v>
      </c>
      <c r="C197" s="76" t="str">
        <f>IFERROR((#REF!/#REF!*1000000),"")</f>
        <v/>
      </c>
      <c r="D197" s="76">
        <f>SEGUIMIENTO!$B$289</f>
        <v>0</v>
      </c>
      <c r="E197" s="76" t="str">
        <f t="shared" si="14"/>
        <v/>
      </c>
      <c r="F197" s="76" t="str">
        <f t="shared" si="15"/>
        <v/>
      </c>
      <c r="G197" s="77"/>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c r="DA197" s="5"/>
      <c r="DB197" s="5"/>
      <c r="DC197" s="5"/>
      <c r="DD197" s="5"/>
      <c r="DE197" s="5"/>
      <c r="DF197" s="5"/>
      <c r="DG197" s="5"/>
      <c r="DH197" s="5"/>
      <c r="DI197" s="5"/>
      <c r="DJ197" s="5"/>
      <c r="DK197" s="5"/>
      <c r="DL197" s="5"/>
      <c r="DM197" s="5"/>
      <c r="DN197" s="5"/>
      <c r="DO197" s="5"/>
      <c r="DP197" s="5"/>
      <c r="DQ197" s="5"/>
      <c r="DR197" s="5"/>
      <c r="DS197" s="5"/>
      <c r="DT197" s="5"/>
      <c r="DU197" s="5"/>
      <c r="DV197" s="5"/>
    </row>
    <row r="198" spans="2:126" s="11" customFormat="1" hidden="1">
      <c r="B198" s="38" t="s">
        <v>335</v>
      </c>
      <c r="C198" s="76" t="str">
        <f>IFERROR((#REF!/#REF!*1000000),"")</f>
        <v/>
      </c>
      <c r="D198" s="76">
        <f>SEGUIMIENTO!$B$289</f>
        <v>0</v>
      </c>
      <c r="E198" s="76" t="str">
        <f t="shared" si="14"/>
        <v/>
      </c>
      <c r="F198" s="76" t="str">
        <f t="shared" si="15"/>
        <v/>
      </c>
      <c r="G198" s="77"/>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c r="CX198" s="5"/>
      <c r="CY198" s="5"/>
      <c r="CZ198" s="5"/>
      <c r="DA198" s="5"/>
      <c r="DB198" s="5"/>
      <c r="DC198" s="5"/>
      <c r="DD198" s="5"/>
      <c r="DE198" s="5"/>
      <c r="DF198" s="5"/>
      <c r="DG198" s="5"/>
      <c r="DH198" s="5"/>
      <c r="DI198" s="5"/>
      <c r="DJ198" s="5"/>
      <c r="DK198" s="5"/>
      <c r="DL198" s="5"/>
      <c r="DM198" s="5"/>
      <c r="DN198" s="5"/>
      <c r="DO198" s="5"/>
      <c r="DP198" s="5"/>
      <c r="DQ198" s="5"/>
      <c r="DR198" s="5"/>
      <c r="DS198" s="5"/>
      <c r="DT198" s="5"/>
      <c r="DU198" s="5"/>
      <c r="DV198" s="5"/>
    </row>
    <row r="199" spans="2:126" s="11" customFormat="1" hidden="1">
      <c r="B199" s="38" t="s">
        <v>336</v>
      </c>
      <c r="C199" s="76" t="str">
        <f>IFERROR((#REF!/#REF!*1000000),"")</f>
        <v/>
      </c>
      <c r="D199" s="76">
        <f>SEGUIMIENTO!$B$289</f>
        <v>0</v>
      </c>
      <c r="E199" s="76" t="str">
        <f t="shared" si="14"/>
        <v/>
      </c>
      <c r="F199" s="76" t="str">
        <f t="shared" si="15"/>
        <v/>
      </c>
      <c r="G199" s="77"/>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c r="DA199" s="5"/>
      <c r="DB199" s="5"/>
      <c r="DC199" s="5"/>
      <c r="DD199" s="5"/>
      <c r="DE199" s="5"/>
      <c r="DF199" s="5"/>
      <c r="DG199" s="5"/>
      <c r="DH199" s="5"/>
      <c r="DI199" s="5"/>
      <c r="DJ199" s="5"/>
      <c r="DK199" s="5"/>
      <c r="DL199" s="5"/>
      <c r="DM199" s="5"/>
      <c r="DN199" s="5"/>
      <c r="DO199" s="5"/>
      <c r="DP199" s="5"/>
      <c r="DQ199" s="5"/>
      <c r="DR199" s="5"/>
      <c r="DS199" s="5"/>
      <c r="DT199" s="5"/>
      <c r="DU199" s="5"/>
      <c r="DV199" s="5"/>
    </row>
    <row r="200" spans="2:126" s="11" customFormat="1" hidden="1">
      <c r="B200" s="38" t="s">
        <v>337</v>
      </c>
      <c r="C200" s="76" t="str">
        <f>IFERROR((#REF!/#REF!*1000000),"")</f>
        <v/>
      </c>
      <c r="D200" s="76">
        <f>SEGUIMIENTO!$B$289</f>
        <v>0</v>
      </c>
      <c r="E200" s="76" t="str">
        <f t="shared" si="14"/>
        <v/>
      </c>
      <c r="F200" s="76" t="str">
        <f t="shared" si="15"/>
        <v/>
      </c>
      <c r="G200" s="77"/>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c r="CX200" s="5"/>
      <c r="CY200" s="5"/>
      <c r="CZ200" s="5"/>
      <c r="DA200" s="5"/>
      <c r="DB200" s="5"/>
      <c r="DC200" s="5"/>
      <c r="DD200" s="5"/>
      <c r="DE200" s="5"/>
      <c r="DF200" s="5"/>
      <c r="DG200" s="5"/>
      <c r="DH200" s="5"/>
      <c r="DI200" s="5"/>
      <c r="DJ200" s="5"/>
      <c r="DK200" s="5"/>
      <c r="DL200" s="5"/>
      <c r="DM200" s="5"/>
      <c r="DN200" s="5"/>
      <c r="DO200" s="5"/>
      <c r="DP200" s="5"/>
      <c r="DQ200" s="5"/>
      <c r="DR200" s="5"/>
      <c r="DS200" s="5"/>
      <c r="DT200" s="5"/>
      <c r="DU200" s="5"/>
      <c r="DV200" s="5"/>
    </row>
    <row r="201" spans="2:126" s="11" customFormat="1" hidden="1">
      <c r="B201" s="38" t="s">
        <v>338</v>
      </c>
      <c r="C201" s="76" t="str">
        <f>IFERROR((#REF!/#REF!*1000000),"")</f>
        <v/>
      </c>
      <c r="D201" s="76">
        <f>SEGUIMIENTO!$B$289</f>
        <v>0</v>
      </c>
      <c r="E201" s="76" t="str">
        <f t="shared" si="14"/>
        <v/>
      </c>
      <c r="F201" s="76" t="str">
        <f t="shared" si="15"/>
        <v/>
      </c>
      <c r="G201" s="77"/>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c r="CX201" s="5"/>
      <c r="CY201" s="5"/>
      <c r="CZ201" s="5"/>
      <c r="DA201" s="5"/>
      <c r="DB201" s="5"/>
      <c r="DC201" s="5"/>
      <c r="DD201" s="5"/>
      <c r="DE201" s="5"/>
      <c r="DF201" s="5"/>
      <c r="DG201" s="5"/>
      <c r="DH201" s="5"/>
      <c r="DI201" s="5"/>
      <c r="DJ201" s="5"/>
      <c r="DK201" s="5"/>
      <c r="DL201" s="5"/>
      <c r="DM201" s="5"/>
      <c r="DN201" s="5"/>
      <c r="DO201" s="5"/>
      <c r="DP201" s="5"/>
      <c r="DQ201" s="5"/>
      <c r="DR201" s="5"/>
      <c r="DS201" s="5"/>
      <c r="DT201" s="5"/>
      <c r="DU201" s="5"/>
      <c r="DV201" s="5"/>
    </row>
    <row r="202" spans="2:126" s="11" customFormat="1" hidden="1">
      <c r="B202" s="38" t="s">
        <v>339</v>
      </c>
      <c r="C202" s="76" t="str">
        <f>IFERROR((#REF!/#REF!*1000000),"")</f>
        <v/>
      </c>
      <c r="D202" s="76">
        <f>SEGUIMIENTO!$B$289</f>
        <v>0</v>
      </c>
      <c r="E202" s="76" t="str">
        <f t="shared" si="14"/>
        <v/>
      </c>
      <c r="F202" s="76" t="str">
        <f t="shared" si="15"/>
        <v/>
      </c>
      <c r="G202" s="77"/>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c r="CX202" s="5"/>
      <c r="CY202" s="5"/>
      <c r="CZ202" s="5"/>
      <c r="DA202" s="5"/>
      <c r="DB202" s="5"/>
      <c r="DC202" s="5"/>
      <c r="DD202" s="5"/>
      <c r="DE202" s="5"/>
      <c r="DF202" s="5"/>
      <c r="DG202" s="5"/>
      <c r="DH202" s="5"/>
      <c r="DI202" s="5"/>
      <c r="DJ202" s="5"/>
      <c r="DK202" s="5"/>
      <c r="DL202" s="5"/>
      <c r="DM202" s="5"/>
      <c r="DN202" s="5"/>
      <c r="DO202" s="5"/>
      <c r="DP202" s="5"/>
      <c r="DQ202" s="5"/>
      <c r="DR202" s="5"/>
      <c r="DS202" s="5"/>
      <c r="DT202" s="5"/>
      <c r="DU202" s="5"/>
      <c r="DV202" s="5"/>
    </row>
    <row r="203" spans="2:126" s="11" customFormat="1" hidden="1">
      <c r="B203" s="38" t="s">
        <v>340</v>
      </c>
      <c r="C203" s="76" t="str">
        <f>IFERROR((#REF!/#REF!*1000000),"")</f>
        <v/>
      </c>
      <c r="D203" s="76">
        <f>SEGUIMIENTO!$B$289</f>
        <v>0</v>
      </c>
      <c r="E203" s="76" t="str">
        <f t="shared" si="14"/>
        <v/>
      </c>
      <c r="F203" s="76" t="str">
        <f t="shared" si="15"/>
        <v/>
      </c>
      <c r="G203" s="77"/>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c r="CX203" s="5"/>
      <c r="CY203" s="5"/>
      <c r="CZ203" s="5"/>
      <c r="DA203" s="5"/>
      <c r="DB203" s="5"/>
      <c r="DC203" s="5"/>
      <c r="DD203" s="5"/>
      <c r="DE203" s="5"/>
      <c r="DF203" s="5"/>
      <c r="DG203" s="5"/>
      <c r="DH203" s="5"/>
      <c r="DI203" s="5"/>
      <c r="DJ203" s="5"/>
      <c r="DK203" s="5"/>
      <c r="DL203" s="5"/>
      <c r="DM203" s="5"/>
      <c r="DN203" s="5"/>
      <c r="DO203" s="5"/>
      <c r="DP203" s="5"/>
      <c r="DQ203" s="5"/>
      <c r="DR203" s="5"/>
      <c r="DS203" s="5"/>
      <c r="DT203" s="5"/>
      <c r="DU203" s="5"/>
      <c r="DV203" s="5"/>
    </row>
    <row r="204" spans="2:126" s="11" customFormat="1" hidden="1">
      <c r="B204" s="38" t="s">
        <v>341</v>
      </c>
      <c r="C204" s="76" t="str">
        <f>IFERROR((#REF!/#REF!*1000000),"")</f>
        <v/>
      </c>
      <c r="D204" s="76">
        <f>SEGUIMIENTO!$B$289</f>
        <v>0</v>
      </c>
      <c r="E204" s="76" t="str">
        <f t="shared" si="14"/>
        <v/>
      </c>
      <c r="F204" s="76" t="str">
        <f t="shared" si="15"/>
        <v/>
      </c>
      <c r="G204" s="77"/>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c r="CX204" s="5"/>
      <c r="CY204" s="5"/>
      <c r="CZ204" s="5"/>
      <c r="DA204" s="5"/>
      <c r="DB204" s="5"/>
      <c r="DC204" s="5"/>
      <c r="DD204" s="5"/>
      <c r="DE204" s="5"/>
      <c r="DF204" s="5"/>
      <c r="DG204" s="5"/>
      <c r="DH204" s="5"/>
      <c r="DI204" s="5"/>
      <c r="DJ204" s="5"/>
      <c r="DK204" s="5"/>
      <c r="DL204" s="5"/>
      <c r="DM204" s="5"/>
      <c r="DN204" s="5"/>
      <c r="DO204" s="5"/>
      <c r="DP204" s="5"/>
      <c r="DQ204" s="5"/>
      <c r="DR204" s="5"/>
      <c r="DS204" s="5"/>
      <c r="DT204" s="5"/>
      <c r="DU204" s="5"/>
      <c r="DV204" s="5"/>
    </row>
    <row r="205" spans="2:126" s="11" customFormat="1" hidden="1">
      <c r="B205" s="38" t="s">
        <v>342</v>
      </c>
      <c r="C205" s="76" t="str">
        <f>IFERROR((#REF!/#REF!*1000000),"")</f>
        <v/>
      </c>
      <c r="D205" s="76">
        <f>SEGUIMIENTO!$B$289</f>
        <v>0</v>
      </c>
      <c r="E205" s="76" t="str">
        <f t="shared" si="14"/>
        <v/>
      </c>
      <c r="F205" s="76" t="str">
        <f t="shared" si="15"/>
        <v/>
      </c>
      <c r="G205" s="77"/>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c r="CX205" s="5"/>
      <c r="CY205" s="5"/>
      <c r="CZ205" s="5"/>
      <c r="DA205" s="5"/>
      <c r="DB205" s="5"/>
      <c r="DC205" s="5"/>
      <c r="DD205" s="5"/>
      <c r="DE205" s="5"/>
      <c r="DF205" s="5"/>
      <c r="DG205" s="5"/>
      <c r="DH205" s="5"/>
      <c r="DI205" s="5"/>
      <c r="DJ205" s="5"/>
      <c r="DK205" s="5"/>
      <c r="DL205" s="5"/>
      <c r="DM205" s="5"/>
      <c r="DN205" s="5"/>
      <c r="DO205" s="5"/>
      <c r="DP205" s="5"/>
      <c r="DQ205" s="5"/>
      <c r="DR205" s="5"/>
      <c r="DS205" s="5"/>
      <c r="DT205" s="5"/>
      <c r="DU205" s="5"/>
      <c r="DV205" s="5"/>
    </row>
    <row r="206" spans="2:126" s="11" customFormat="1" hidden="1">
      <c r="B206" s="38" t="s">
        <v>343</v>
      </c>
      <c r="C206" s="76" t="str">
        <f>IFERROR((#REF!/#REF!*1000000),"")</f>
        <v/>
      </c>
      <c r="D206" s="76">
        <f>SEGUIMIENTO!$B$289</f>
        <v>0</v>
      </c>
      <c r="E206" s="76" t="str">
        <f t="shared" si="14"/>
        <v/>
      </c>
      <c r="F206" s="76" t="str">
        <f t="shared" si="15"/>
        <v/>
      </c>
      <c r="G206" s="77"/>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c r="CX206" s="5"/>
      <c r="CY206" s="5"/>
      <c r="CZ206" s="5"/>
      <c r="DA206" s="5"/>
      <c r="DB206" s="5"/>
      <c r="DC206" s="5"/>
      <c r="DD206" s="5"/>
      <c r="DE206" s="5"/>
      <c r="DF206" s="5"/>
      <c r="DG206" s="5"/>
      <c r="DH206" s="5"/>
      <c r="DI206" s="5"/>
      <c r="DJ206" s="5"/>
      <c r="DK206" s="5"/>
      <c r="DL206" s="5"/>
      <c r="DM206" s="5"/>
      <c r="DN206" s="5"/>
      <c r="DO206" s="5"/>
      <c r="DP206" s="5"/>
      <c r="DQ206" s="5"/>
      <c r="DR206" s="5"/>
      <c r="DS206" s="5"/>
      <c r="DT206" s="5"/>
      <c r="DU206" s="5"/>
      <c r="DV206" s="5"/>
    </row>
    <row r="207" spans="2:126" s="11" customFormat="1" hidden="1">
      <c r="B207" s="38" t="s">
        <v>344</v>
      </c>
      <c r="C207" s="76" t="str">
        <f>IFERROR((#REF!/#REF!*1000000),"")</f>
        <v/>
      </c>
      <c r="D207" s="76">
        <f>SEGUIMIENTO!$B$289</f>
        <v>0</v>
      </c>
      <c r="E207" s="76" t="str">
        <f t="shared" si="14"/>
        <v/>
      </c>
      <c r="F207" s="76" t="str">
        <f t="shared" si="15"/>
        <v/>
      </c>
      <c r="G207" s="77"/>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c r="CX207" s="5"/>
      <c r="CY207" s="5"/>
      <c r="CZ207" s="5"/>
      <c r="DA207" s="5"/>
      <c r="DB207" s="5"/>
      <c r="DC207" s="5"/>
      <c r="DD207" s="5"/>
      <c r="DE207" s="5"/>
      <c r="DF207" s="5"/>
      <c r="DG207" s="5"/>
      <c r="DH207" s="5"/>
      <c r="DI207" s="5"/>
      <c r="DJ207" s="5"/>
      <c r="DK207" s="5"/>
      <c r="DL207" s="5"/>
      <c r="DM207" s="5"/>
      <c r="DN207" s="5"/>
      <c r="DO207" s="5"/>
      <c r="DP207" s="5"/>
      <c r="DQ207" s="5"/>
      <c r="DR207" s="5"/>
      <c r="DS207" s="5"/>
      <c r="DT207" s="5"/>
      <c r="DU207" s="5"/>
      <c r="DV207" s="5"/>
    </row>
    <row r="208" spans="2:126" s="11" customFormat="1" hidden="1">
      <c r="B208" s="38" t="s">
        <v>345</v>
      </c>
      <c r="C208" s="76" t="str">
        <f>IFERROR((#REF!/#REF!*1000000),"")</f>
        <v/>
      </c>
      <c r="D208" s="76">
        <f>SEGUIMIENTO!$B$289</f>
        <v>0</v>
      </c>
      <c r="E208" s="76" t="str">
        <f t="shared" si="14"/>
        <v/>
      </c>
      <c r="F208" s="76" t="str">
        <f t="shared" si="15"/>
        <v/>
      </c>
      <c r="G208" s="77"/>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c r="CX208" s="5"/>
      <c r="CY208" s="5"/>
      <c r="CZ208" s="5"/>
      <c r="DA208" s="5"/>
      <c r="DB208" s="5"/>
      <c r="DC208" s="5"/>
      <c r="DD208" s="5"/>
      <c r="DE208" s="5"/>
      <c r="DF208" s="5"/>
      <c r="DG208" s="5"/>
      <c r="DH208" s="5"/>
      <c r="DI208" s="5"/>
      <c r="DJ208" s="5"/>
      <c r="DK208" s="5"/>
      <c r="DL208" s="5"/>
      <c r="DM208" s="5"/>
      <c r="DN208" s="5"/>
      <c r="DO208" s="5"/>
      <c r="DP208" s="5"/>
      <c r="DQ208" s="5"/>
      <c r="DR208" s="5"/>
      <c r="DS208" s="5"/>
      <c r="DT208" s="5"/>
      <c r="DU208" s="5"/>
      <c r="DV208" s="5"/>
    </row>
    <row r="209" spans="2:126" s="11" customFormat="1" hidden="1">
      <c r="B209" s="38" t="s">
        <v>346</v>
      </c>
      <c r="C209" s="76" t="str">
        <f>IFERROR((#REF!/#REF!*1000000),"")</f>
        <v/>
      </c>
      <c r="D209" s="76">
        <f>SEGUIMIENTO!$B$289</f>
        <v>0</v>
      </c>
      <c r="E209" s="76" t="str">
        <f t="shared" si="14"/>
        <v/>
      </c>
      <c r="F209" s="76" t="str">
        <f t="shared" si="15"/>
        <v/>
      </c>
      <c r="G209" s="77"/>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c r="CX209" s="5"/>
      <c r="CY209" s="5"/>
      <c r="CZ209" s="5"/>
      <c r="DA209" s="5"/>
      <c r="DB209" s="5"/>
      <c r="DC209" s="5"/>
      <c r="DD209" s="5"/>
      <c r="DE209" s="5"/>
      <c r="DF209" s="5"/>
      <c r="DG209" s="5"/>
      <c r="DH209" s="5"/>
      <c r="DI209" s="5"/>
      <c r="DJ209" s="5"/>
      <c r="DK209" s="5"/>
      <c r="DL209" s="5"/>
      <c r="DM209" s="5"/>
      <c r="DN209" s="5"/>
      <c r="DO209" s="5"/>
      <c r="DP209" s="5"/>
      <c r="DQ209" s="5"/>
      <c r="DR209" s="5"/>
      <c r="DS209" s="5"/>
      <c r="DT209" s="5"/>
      <c r="DU209" s="5"/>
      <c r="DV209" s="5"/>
    </row>
    <row r="210" spans="2:126" s="11" customFormat="1" hidden="1">
      <c r="B210" s="38" t="s">
        <v>347</v>
      </c>
      <c r="C210" s="76" t="str">
        <f>IFERROR((#REF!/#REF!*1000000),"")</f>
        <v/>
      </c>
      <c r="D210" s="76">
        <f>SEGUIMIENTO!$B$289</f>
        <v>0</v>
      </c>
      <c r="E210" s="76" t="str">
        <f t="shared" si="14"/>
        <v/>
      </c>
      <c r="F210" s="76" t="str">
        <f t="shared" si="15"/>
        <v/>
      </c>
      <c r="G210" s="77"/>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c r="CX210" s="5"/>
      <c r="CY210" s="5"/>
      <c r="CZ210" s="5"/>
      <c r="DA210" s="5"/>
      <c r="DB210" s="5"/>
      <c r="DC210" s="5"/>
      <c r="DD210" s="5"/>
      <c r="DE210" s="5"/>
      <c r="DF210" s="5"/>
      <c r="DG210" s="5"/>
      <c r="DH210" s="5"/>
      <c r="DI210" s="5"/>
      <c r="DJ210" s="5"/>
      <c r="DK210" s="5"/>
      <c r="DL210" s="5"/>
      <c r="DM210" s="5"/>
      <c r="DN210" s="5"/>
      <c r="DO210" s="5"/>
      <c r="DP210" s="5"/>
      <c r="DQ210" s="5"/>
      <c r="DR210" s="5"/>
      <c r="DS210" s="5"/>
      <c r="DT210" s="5"/>
      <c r="DU210" s="5"/>
      <c r="DV210" s="5"/>
    </row>
    <row r="211" spans="2:126" s="11" customFormat="1" hidden="1">
      <c r="B211" s="38" t="s">
        <v>348</v>
      </c>
      <c r="C211" s="76" t="str">
        <f>IFERROR((#REF!/#REF!*1000000),"")</f>
        <v/>
      </c>
      <c r="D211" s="76">
        <f>SEGUIMIENTO!$B$289</f>
        <v>0</v>
      </c>
      <c r="E211" s="76" t="str">
        <f t="shared" si="14"/>
        <v/>
      </c>
      <c r="F211" s="76" t="str">
        <f t="shared" si="15"/>
        <v/>
      </c>
      <c r="G211" s="77"/>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c r="CX211" s="5"/>
      <c r="CY211" s="5"/>
      <c r="CZ211" s="5"/>
      <c r="DA211" s="5"/>
      <c r="DB211" s="5"/>
      <c r="DC211" s="5"/>
      <c r="DD211" s="5"/>
      <c r="DE211" s="5"/>
      <c r="DF211" s="5"/>
      <c r="DG211" s="5"/>
      <c r="DH211" s="5"/>
      <c r="DI211" s="5"/>
      <c r="DJ211" s="5"/>
      <c r="DK211" s="5"/>
      <c r="DL211" s="5"/>
      <c r="DM211" s="5"/>
      <c r="DN211" s="5"/>
      <c r="DO211" s="5"/>
      <c r="DP211" s="5"/>
      <c r="DQ211" s="5"/>
      <c r="DR211" s="5"/>
      <c r="DS211" s="5"/>
      <c r="DT211" s="5"/>
      <c r="DU211" s="5"/>
      <c r="DV211" s="5"/>
    </row>
    <row r="212" spans="2:126" s="11" customFormat="1" hidden="1">
      <c r="B212" s="38" t="s">
        <v>349</v>
      </c>
      <c r="C212" s="76" t="str">
        <f>IFERROR((#REF!/#REF!*1000000),"")</f>
        <v/>
      </c>
      <c r="D212" s="76">
        <f>SEGUIMIENTO!$B$289</f>
        <v>0</v>
      </c>
      <c r="E212" s="76" t="str">
        <f t="shared" si="14"/>
        <v/>
      </c>
      <c r="F212" s="76" t="str">
        <f t="shared" si="15"/>
        <v/>
      </c>
      <c r="G212" s="77"/>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c r="CX212" s="5"/>
      <c r="CY212" s="5"/>
      <c r="CZ212" s="5"/>
      <c r="DA212" s="5"/>
      <c r="DB212" s="5"/>
      <c r="DC212" s="5"/>
      <c r="DD212" s="5"/>
      <c r="DE212" s="5"/>
      <c r="DF212" s="5"/>
      <c r="DG212" s="5"/>
      <c r="DH212" s="5"/>
      <c r="DI212" s="5"/>
      <c r="DJ212" s="5"/>
      <c r="DK212" s="5"/>
      <c r="DL212" s="5"/>
      <c r="DM212" s="5"/>
      <c r="DN212" s="5"/>
      <c r="DO212" s="5"/>
      <c r="DP212" s="5"/>
      <c r="DQ212" s="5"/>
      <c r="DR212" s="5"/>
      <c r="DS212" s="5"/>
      <c r="DT212" s="5"/>
      <c r="DU212" s="5"/>
      <c r="DV212" s="5"/>
    </row>
    <row r="213" spans="2:126" s="11" customFormat="1" hidden="1">
      <c r="B213" s="38" t="s">
        <v>350</v>
      </c>
      <c r="C213" s="76" t="str">
        <f>IFERROR((#REF!/#REF!*1000000),"")</f>
        <v/>
      </c>
      <c r="D213" s="76">
        <f>SEGUIMIENTO!$B$289</f>
        <v>0</v>
      </c>
      <c r="E213" s="76" t="str">
        <f t="shared" si="14"/>
        <v/>
      </c>
      <c r="F213" s="76" t="str">
        <f t="shared" si="15"/>
        <v/>
      </c>
      <c r="G213" s="77"/>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c r="CX213" s="5"/>
      <c r="CY213" s="5"/>
      <c r="CZ213" s="5"/>
      <c r="DA213" s="5"/>
      <c r="DB213" s="5"/>
      <c r="DC213" s="5"/>
      <c r="DD213" s="5"/>
      <c r="DE213" s="5"/>
      <c r="DF213" s="5"/>
      <c r="DG213" s="5"/>
      <c r="DH213" s="5"/>
      <c r="DI213" s="5"/>
      <c r="DJ213" s="5"/>
      <c r="DK213" s="5"/>
      <c r="DL213" s="5"/>
      <c r="DM213" s="5"/>
      <c r="DN213" s="5"/>
      <c r="DO213" s="5"/>
      <c r="DP213" s="5"/>
      <c r="DQ213" s="5"/>
      <c r="DR213" s="5"/>
      <c r="DS213" s="5"/>
      <c r="DT213" s="5"/>
      <c r="DU213" s="5"/>
      <c r="DV213" s="5"/>
    </row>
    <row r="214" spans="2:126" s="11" customFormat="1" hidden="1">
      <c r="B214" s="38" t="s">
        <v>351</v>
      </c>
      <c r="C214" s="76" t="str">
        <f>IFERROR((#REF!/#REF!*1000000),"")</f>
        <v/>
      </c>
      <c r="D214" s="76">
        <f>SEGUIMIENTO!$B$289</f>
        <v>0</v>
      </c>
      <c r="E214" s="76" t="str">
        <f t="shared" si="14"/>
        <v/>
      </c>
      <c r="F214" s="76" t="str">
        <f t="shared" si="15"/>
        <v/>
      </c>
      <c r="G214" s="77"/>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c r="CX214" s="5"/>
      <c r="CY214" s="5"/>
      <c r="CZ214" s="5"/>
      <c r="DA214" s="5"/>
      <c r="DB214" s="5"/>
      <c r="DC214" s="5"/>
      <c r="DD214" s="5"/>
      <c r="DE214" s="5"/>
      <c r="DF214" s="5"/>
      <c r="DG214" s="5"/>
      <c r="DH214" s="5"/>
      <c r="DI214" s="5"/>
      <c r="DJ214" s="5"/>
      <c r="DK214" s="5"/>
      <c r="DL214" s="5"/>
      <c r="DM214" s="5"/>
      <c r="DN214" s="5"/>
      <c r="DO214" s="5"/>
      <c r="DP214" s="5"/>
      <c r="DQ214" s="5"/>
      <c r="DR214" s="5"/>
      <c r="DS214" s="5"/>
      <c r="DT214" s="5"/>
      <c r="DU214" s="5"/>
      <c r="DV214" s="5"/>
    </row>
    <row r="215" spans="2:126" s="11" customFormat="1" hidden="1">
      <c r="B215" s="38" t="s">
        <v>352</v>
      </c>
      <c r="C215" s="76" t="str">
        <f>IFERROR((#REF!/#REF!*1000000),"")</f>
        <v/>
      </c>
      <c r="D215" s="76">
        <f>SEGUIMIENTO!$B$289</f>
        <v>0</v>
      </c>
      <c r="E215" s="76" t="str">
        <f t="shared" si="14"/>
        <v/>
      </c>
      <c r="F215" s="76" t="str">
        <f t="shared" si="15"/>
        <v/>
      </c>
      <c r="G215" s="77"/>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c r="CX215" s="5"/>
      <c r="CY215" s="5"/>
      <c r="CZ215" s="5"/>
      <c r="DA215" s="5"/>
      <c r="DB215" s="5"/>
      <c r="DC215" s="5"/>
      <c r="DD215" s="5"/>
      <c r="DE215" s="5"/>
      <c r="DF215" s="5"/>
      <c r="DG215" s="5"/>
      <c r="DH215" s="5"/>
      <c r="DI215" s="5"/>
      <c r="DJ215" s="5"/>
      <c r="DK215" s="5"/>
      <c r="DL215" s="5"/>
      <c r="DM215" s="5"/>
      <c r="DN215" s="5"/>
      <c r="DO215" s="5"/>
      <c r="DP215" s="5"/>
      <c r="DQ215" s="5"/>
      <c r="DR215" s="5"/>
      <c r="DS215" s="5"/>
      <c r="DT215" s="5"/>
      <c r="DU215" s="5"/>
      <c r="DV215" s="5"/>
    </row>
    <row r="216" spans="2:126" s="11" customFormat="1" hidden="1">
      <c r="B216" s="38" t="s">
        <v>353</v>
      </c>
      <c r="C216" s="76" t="str">
        <f>IFERROR((#REF!/#REF!*1000000),"")</f>
        <v/>
      </c>
      <c r="D216" s="76">
        <f>SEGUIMIENTO!$B$289</f>
        <v>0</v>
      </c>
      <c r="E216" s="76" t="str">
        <f t="shared" si="14"/>
        <v/>
      </c>
      <c r="F216" s="76" t="str">
        <f t="shared" si="15"/>
        <v/>
      </c>
      <c r="G216" s="77"/>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c r="CX216" s="5"/>
      <c r="CY216" s="5"/>
      <c r="CZ216" s="5"/>
      <c r="DA216" s="5"/>
      <c r="DB216" s="5"/>
      <c r="DC216" s="5"/>
      <c r="DD216" s="5"/>
      <c r="DE216" s="5"/>
      <c r="DF216" s="5"/>
      <c r="DG216" s="5"/>
      <c r="DH216" s="5"/>
      <c r="DI216" s="5"/>
      <c r="DJ216" s="5"/>
      <c r="DK216" s="5"/>
      <c r="DL216" s="5"/>
      <c r="DM216" s="5"/>
      <c r="DN216" s="5"/>
      <c r="DO216" s="5"/>
      <c r="DP216" s="5"/>
      <c r="DQ216" s="5"/>
      <c r="DR216" s="5"/>
      <c r="DS216" s="5"/>
      <c r="DT216" s="5"/>
      <c r="DU216" s="5"/>
      <c r="DV216" s="5"/>
    </row>
    <row r="217" spans="2:126" s="11" customFormat="1" hidden="1">
      <c r="B217" s="38" t="s">
        <v>354</v>
      </c>
      <c r="C217" s="76" t="str">
        <f>IFERROR((#REF!/#REF!*1000000),"")</f>
        <v/>
      </c>
      <c r="D217" s="76">
        <f>SEGUIMIENTO!$B$289</f>
        <v>0</v>
      </c>
      <c r="E217" s="76" t="str">
        <f t="shared" si="14"/>
        <v/>
      </c>
      <c r="F217" s="76" t="str">
        <f t="shared" si="15"/>
        <v/>
      </c>
      <c r="G217" s="77"/>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c r="CX217" s="5"/>
      <c r="CY217" s="5"/>
      <c r="CZ217" s="5"/>
      <c r="DA217" s="5"/>
      <c r="DB217" s="5"/>
      <c r="DC217" s="5"/>
      <c r="DD217" s="5"/>
      <c r="DE217" s="5"/>
      <c r="DF217" s="5"/>
      <c r="DG217" s="5"/>
      <c r="DH217" s="5"/>
      <c r="DI217" s="5"/>
      <c r="DJ217" s="5"/>
      <c r="DK217" s="5"/>
      <c r="DL217" s="5"/>
      <c r="DM217" s="5"/>
      <c r="DN217" s="5"/>
      <c r="DO217" s="5"/>
      <c r="DP217" s="5"/>
      <c r="DQ217" s="5"/>
      <c r="DR217" s="5"/>
      <c r="DS217" s="5"/>
      <c r="DT217" s="5"/>
      <c r="DU217" s="5"/>
      <c r="DV217" s="5"/>
    </row>
    <row r="218" spans="2:126" s="11" customFormat="1" hidden="1">
      <c r="B218" s="38" t="s">
        <v>355</v>
      </c>
      <c r="C218" s="76" t="str">
        <f>IFERROR((#REF!/#REF!*1000000),"")</f>
        <v/>
      </c>
      <c r="D218" s="76">
        <f>SEGUIMIENTO!$B$289</f>
        <v>0</v>
      </c>
      <c r="E218" s="76" t="str">
        <f t="shared" si="14"/>
        <v/>
      </c>
      <c r="F218" s="76" t="str">
        <f t="shared" si="15"/>
        <v/>
      </c>
      <c r="G218" s="77"/>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c r="CX218" s="5"/>
      <c r="CY218" s="5"/>
      <c r="CZ218" s="5"/>
      <c r="DA218" s="5"/>
      <c r="DB218" s="5"/>
      <c r="DC218" s="5"/>
      <c r="DD218" s="5"/>
      <c r="DE218" s="5"/>
      <c r="DF218" s="5"/>
      <c r="DG218" s="5"/>
      <c r="DH218" s="5"/>
      <c r="DI218" s="5"/>
      <c r="DJ218" s="5"/>
      <c r="DK218" s="5"/>
      <c r="DL218" s="5"/>
      <c r="DM218" s="5"/>
      <c r="DN218" s="5"/>
      <c r="DO218" s="5"/>
      <c r="DP218" s="5"/>
      <c r="DQ218" s="5"/>
      <c r="DR218" s="5"/>
      <c r="DS218" s="5"/>
      <c r="DT218" s="5"/>
      <c r="DU218" s="5"/>
      <c r="DV218" s="5"/>
    </row>
    <row r="219" spans="2:126" s="11" customFormat="1" hidden="1">
      <c r="B219" s="38" t="s">
        <v>356</v>
      </c>
      <c r="C219" s="76" t="str">
        <f>IFERROR((#REF!/#REF!*1000000),"")</f>
        <v/>
      </c>
      <c r="D219" s="76">
        <f>SEGUIMIENTO!$B$289</f>
        <v>0</v>
      </c>
      <c r="E219" s="76" t="str">
        <f t="shared" si="14"/>
        <v/>
      </c>
      <c r="F219" s="76" t="str">
        <f t="shared" si="15"/>
        <v/>
      </c>
      <c r="G219" s="77"/>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c r="CX219" s="5"/>
      <c r="CY219" s="5"/>
      <c r="CZ219" s="5"/>
      <c r="DA219" s="5"/>
      <c r="DB219" s="5"/>
      <c r="DC219" s="5"/>
      <c r="DD219" s="5"/>
      <c r="DE219" s="5"/>
      <c r="DF219" s="5"/>
      <c r="DG219" s="5"/>
      <c r="DH219" s="5"/>
      <c r="DI219" s="5"/>
      <c r="DJ219" s="5"/>
      <c r="DK219" s="5"/>
      <c r="DL219" s="5"/>
      <c r="DM219" s="5"/>
      <c r="DN219" s="5"/>
      <c r="DO219" s="5"/>
      <c r="DP219" s="5"/>
      <c r="DQ219" s="5"/>
      <c r="DR219" s="5"/>
      <c r="DS219" s="5"/>
      <c r="DT219" s="5"/>
      <c r="DU219" s="5"/>
      <c r="DV219" s="5"/>
    </row>
    <row r="220" spans="2:126" s="11" customFormat="1" hidden="1">
      <c r="B220" s="38" t="s">
        <v>357</v>
      </c>
      <c r="C220" s="76" t="str">
        <f>IFERROR((#REF!/#REF!*1000000),"")</f>
        <v/>
      </c>
      <c r="D220" s="76">
        <f>SEGUIMIENTO!$B$289</f>
        <v>0</v>
      </c>
      <c r="E220" s="76" t="str">
        <f t="shared" si="14"/>
        <v/>
      </c>
      <c r="F220" s="76" t="str">
        <f t="shared" si="15"/>
        <v/>
      </c>
      <c r="G220" s="77"/>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c r="CX220" s="5"/>
      <c r="CY220" s="5"/>
      <c r="CZ220" s="5"/>
      <c r="DA220" s="5"/>
      <c r="DB220" s="5"/>
      <c r="DC220" s="5"/>
      <c r="DD220" s="5"/>
      <c r="DE220" s="5"/>
      <c r="DF220" s="5"/>
      <c r="DG220" s="5"/>
      <c r="DH220" s="5"/>
      <c r="DI220" s="5"/>
      <c r="DJ220" s="5"/>
      <c r="DK220" s="5"/>
      <c r="DL220" s="5"/>
      <c r="DM220" s="5"/>
      <c r="DN220" s="5"/>
      <c r="DO220" s="5"/>
      <c r="DP220" s="5"/>
      <c r="DQ220" s="5"/>
      <c r="DR220" s="5"/>
      <c r="DS220" s="5"/>
      <c r="DT220" s="5"/>
      <c r="DU220" s="5"/>
      <c r="DV220" s="5"/>
    </row>
    <row r="221" spans="2:126" s="11" customFormat="1" hidden="1">
      <c r="B221" s="38" t="s">
        <v>358</v>
      </c>
      <c r="C221" s="76" t="str">
        <f>IFERROR((#REF!/#REF!*1000000),"")</f>
        <v/>
      </c>
      <c r="D221" s="76">
        <f>SEGUIMIENTO!$B$289</f>
        <v>0</v>
      </c>
      <c r="E221" s="76" t="str">
        <f t="shared" si="14"/>
        <v/>
      </c>
      <c r="F221" s="76" t="str">
        <f t="shared" si="15"/>
        <v/>
      </c>
      <c r="G221" s="77"/>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c r="CX221" s="5"/>
      <c r="CY221" s="5"/>
      <c r="CZ221" s="5"/>
      <c r="DA221" s="5"/>
      <c r="DB221" s="5"/>
      <c r="DC221" s="5"/>
      <c r="DD221" s="5"/>
      <c r="DE221" s="5"/>
      <c r="DF221" s="5"/>
      <c r="DG221" s="5"/>
      <c r="DH221" s="5"/>
      <c r="DI221" s="5"/>
      <c r="DJ221" s="5"/>
      <c r="DK221" s="5"/>
      <c r="DL221" s="5"/>
      <c r="DM221" s="5"/>
      <c r="DN221" s="5"/>
      <c r="DO221" s="5"/>
      <c r="DP221" s="5"/>
      <c r="DQ221" s="5"/>
      <c r="DR221" s="5"/>
      <c r="DS221" s="5"/>
      <c r="DT221" s="5"/>
      <c r="DU221" s="5"/>
      <c r="DV221" s="5"/>
    </row>
    <row r="222" spans="2:126" s="11" customFormat="1" hidden="1">
      <c r="B222" s="38" t="s">
        <v>359</v>
      </c>
      <c r="C222" s="76" t="str">
        <f>IFERROR((#REF!/#REF!*1000000),"")</f>
        <v/>
      </c>
      <c r="D222" s="76">
        <f>SEGUIMIENTO!$B$289</f>
        <v>0</v>
      </c>
      <c r="E222" s="76" t="str">
        <f t="shared" si="14"/>
        <v/>
      </c>
      <c r="F222" s="76" t="str">
        <f t="shared" si="15"/>
        <v/>
      </c>
      <c r="G222" s="77"/>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c r="CX222" s="5"/>
      <c r="CY222" s="5"/>
      <c r="CZ222" s="5"/>
      <c r="DA222" s="5"/>
      <c r="DB222" s="5"/>
      <c r="DC222" s="5"/>
      <c r="DD222" s="5"/>
      <c r="DE222" s="5"/>
      <c r="DF222" s="5"/>
      <c r="DG222" s="5"/>
      <c r="DH222" s="5"/>
      <c r="DI222" s="5"/>
      <c r="DJ222" s="5"/>
      <c r="DK222" s="5"/>
      <c r="DL222" s="5"/>
      <c r="DM222" s="5"/>
      <c r="DN222" s="5"/>
      <c r="DO222" s="5"/>
      <c r="DP222" s="5"/>
      <c r="DQ222" s="5"/>
      <c r="DR222" s="5"/>
      <c r="DS222" s="5"/>
      <c r="DT222" s="5"/>
      <c r="DU222" s="5"/>
      <c r="DV222" s="5"/>
    </row>
    <row r="223" spans="2:126" s="11" customFormat="1" hidden="1">
      <c r="B223" s="38" t="s">
        <v>360</v>
      </c>
      <c r="C223" s="76" t="str">
        <f>IFERROR((#REF!/#REF!*1000000),"")</f>
        <v/>
      </c>
      <c r="D223" s="76">
        <f>SEGUIMIENTO!$B$289</f>
        <v>0</v>
      </c>
      <c r="E223" s="76" t="str">
        <f t="shared" si="14"/>
        <v/>
      </c>
      <c r="F223" s="76" t="str">
        <f t="shared" si="15"/>
        <v/>
      </c>
      <c r="G223" s="77"/>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c r="CX223" s="5"/>
      <c r="CY223" s="5"/>
      <c r="CZ223" s="5"/>
      <c r="DA223" s="5"/>
      <c r="DB223" s="5"/>
      <c r="DC223" s="5"/>
      <c r="DD223" s="5"/>
      <c r="DE223" s="5"/>
      <c r="DF223" s="5"/>
      <c r="DG223" s="5"/>
      <c r="DH223" s="5"/>
      <c r="DI223" s="5"/>
      <c r="DJ223" s="5"/>
      <c r="DK223" s="5"/>
      <c r="DL223" s="5"/>
      <c r="DM223" s="5"/>
      <c r="DN223" s="5"/>
      <c r="DO223" s="5"/>
      <c r="DP223" s="5"/>
      <c r="DQ223" s="5"/>
      <c r="DR223" s="5"/>
      <c r="DS223" s="5"/>
      <c r="DT223" s="5"/>
      <c r="DU223" s="5"/>
      <c r="DV223" s="5"/>
    </row>
    <row r="224" spans="2:126" s="11" customFormat="1" hidden="1">
      <c r="B224" s="38" t="s">
        <v>361</v>
      </c>
      <c r="C224" s="76" t="str">
        <f>IFERROR((#REF!/#REF!*1000000),"")</f>
        <v/>
      </c>
      <c r="D224" s="76">
        <f>SEGUIMIENTO!$B$289</f>
        <v>0</v>
      </c>
      <c r="E224" s="76" t="str">
        <f t="shared" si="14"/>
        <v/>
      </c>
      <c r="F224" s="76" t="str">
        <f t="shared" si="15"/>
        <v/>
      </c>
      <c r="G224" s="77"/>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c r="CX224" s="5"/>
      <c r="CY224" s="5"/>
      <c r="CZ224" s="5"/>
      <c r="DA224" s="5"/>
      <c r="DB224" s="5"/>
      <c r="DC224" s="5"/>
      <c r="DD224" s="5"/>
      <c r="DE224" s="5"/>
      <c r="DF224" s="5"/>
      <c r="DG224" s="5"/>
      <c r="DH224" s="5"/>
      <c r="DI224" s="5"/>
      <c r="DJ224" s="5"/>
      <c r="DK224" s="5"/>
      <c r="DL224" s="5"/>
      <c r="DM224" s="5"/>
      <c r="DN224" s="5"/>
      <c r="DO224" s="5"/>
      <c r="DP224" s="5"/>
      <c r="DQ224" s="5"/>
      <c r="DR224" s="5"/>
      <c r="DS224" s="5"/>
      <c r="DT224" s="5"/>
      <c r="DU224" s="5"/>
      <c r="DV224" s="5"/>
    </row>
    <row r="225" spans="2:126" s="11" customFormat="1" hidden="1">
      <c r="B225" s="38" t="s">
        <v>362</v>
      </c>
      <c r="C225" s="76" t="str">
        <f>IFERROR((#REF!/#REF!*1000000),"")</f>
        <v/>
      </c>
      <c r="D225" s="76">
        <f>SEGUIMIENTO!$B$289</f>
        <v>0</v>
      </c>
      <c r="E225" s="76" t="str">
        <f t="shared" si="14"/>
        <v/>
      </c>
      <c r="F225" s="76" t="str">
        <f t="shared" si="15"/>
        <v/>
      </c>
      <c r="G225" s="77"/>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c r="CX225" s="5"/>
      <c r="CY225" s="5"/>
      <c r="CZ225" s="5"/>
      <c r="DA225" s="5"/>
      <c r="DB225" s="5"/>
      <c r="DC225" s="5"/>
      <c r="DD225" s="5"/>
      <c r="DE225" s="5"/>
      <c r="DF225" s="5"/>
      <c r="DG225" s="5"/>
      <c r="DH225" s="5"/>
      <c r="DI225" s="5"/>
      <c r="DJ225" s="5"/>
      <c r="DK225" s="5"/>
      <c r="DL225" s="5"/>
      <c r="DM225" s="5"/>
      <c r="DN225" s="5"/>
      <c r="DO225" s="5"/>
      <c r="DP225" s="5"/>
      <c r="DQ225" s="5"/>
      <c r="DR225" s="5"/>
      <c r="DS225" s="5"/>
      <c r="DT225" s="5"/>
      <c r="DU225" s="5"/>
      <c r="DV225" s="5"/>
    </row>
    <row r="226" spans="2:126" s="11" customFormat="1" hidden="1">
      <c r="B226" s="38" t="s">
        <v>363</v>
      </c>
      <c r="C226" s="76" t="str">
        <f>IFERROR((#REF!/#REF!*1000000),"")</f>
        <v/>
      </c>
      <c r="D226" s="76">
        <f>SEGUIMIENTO!$B$289</f>
        <v>0</v>
      </c>
      <c r="E226" s="76" t="str">
        <f t="shared" si="14"/>
        <v/>
      </c>
      <c r="F226" s="76" t="str">
        <f t="shared" si="15"/>
        <v/>
      </c>
      <c r="G226" s="77"/>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c r="CX226" s="5"/>
      <c r="CY226" s="5"/>
      <c r="CZ226" s="5"/>
      <c r="DA226" s="5"/>
      <c r="DB226" s="5"/>
      <c r="DC226" s="5"/>
      <c r="DD226" s="5"/>
      <c r="DE226" s="5"/>
      <c r="DF226" s="5"/>
      <c r="DG226" s="5"/>
      <c r="DH226" s="5"/>
      <c r="DI226" s="5"/>
      <c r="DJ226" s="5"/>
      <c r="DK226" s="5"/>
      <c r="DL226" s="5"/>
      <c r="DM226" s="5"/>
      <c r="DN226" s="5"/>
      <c r="DO226" s="5"/>
      <c r="DP226" s="5"/>
      <c r="DQ226" s="5"/>
      <c r="DR226" s="5"/>
      <c r="DS226" s="5"/>
      <c r="DT226" s="5"/>
      <c r="DU226" s="5"/>
      <c r="DV226" s="5"/>
    </row>
    <row r="227" spans="2:126" s="11" customFormat="1" hidden="1">
      <c r="B227" s="38" t="s">
        <v>364</v>
      </c>
      <c r="C227" s="76" t="str">
        <f>IFERROR((#REF!/#REF!*1000000),"")</f>
        <v/>
      </c>
      <c r="D227" s="76">
        <f>SEGUIMIENTO!$B$289</f>
        <v>0</v>
      </c>
      <c r="E227" s="76" t="str">
        <f t="shared" si="14"/>
        <v/>
      </c>
      <c r="F227" s="76" t="str">
        <f t="shared" si="15"/>
        <v/>
      </c>
      <c r="G227" s="77"/>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c r="CX227" s="5"/>
      <c r="CY227" s="5"/>
      <c r="CZ227" s="5"/>
      <c r="DA227" s="5"/>
      <c r="DB227" s="5"/>
      <c r="DC227" s="5"/>
      <c r="DD227" s="5"/>
      <c r="DE227" s="5"/>
      <c r="DF227" s="5"/>
      <c r="DG227" s="5"/>
      <c r="DH227" s="5"/>
      <c r="DI227" s="5"/>
      <c r="DJ227" s="5"/>
      <c r="DK227" s="5"/>
      <c r="DL227" s="5"/>
      <c r="DM227" s="5"/>
      <c r="DN227" s="5"/>
      <c r="DO227" s="5"/>
      <c r="DP227" s="5"/>
      <c r="DQ227" s="5"/>
      <c r="DR227" s="5"/>
      <c r="DS227" s="5"/>
      <c r="DT227" s="5"/>
      <c r="DU227" s="5"/>
      <c r="DV227" s="5"/>
    </row>
    <row r="228" spans="2:126" s="11" customFormat="1" hidden="1">
      <c r="B228" s="38" t="s">
        <v>365</v>
      </c>
      <c r="C228" s="76" t="str">
        <f>IFERROR((#REF!/#REF!*1000000),"")</f>
        <v/>
      </c>
      <c r="D228" s="76">
        <f>SEGUIMIENTO!$B$289</f>
        <v>0</v>
      </c>
      <c r="E228" s="76" t="str">
        <f t="shared" si="14"/>
        <v/>
      </c>
      <c r="F228" s="76" t="str">
        <f t="shared" si="15"/>
        <v/>
      </c>
      <c r="G228" s="77"/>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c r="CX228" s="5"/>
      <c r="CY228" s="5"/>
      <c r="CZ228" s="5"/>
      <c r="DA228" s="5"/>
      <c r="DB228" s="5"/>
      <c r="DC228" s="5"/>
      <c r="DD228" s="5"/>
      <c r="DE228" s="5"/>
      <c r="DF228" s="5"/>
      <c r="DG228" s="5"/>
      <c r="DH228" s="5"/>
      <c r="DI228" s="5"/>
      <c r="DJ228" s="5"/>
      <c r="DK228" s="5"/>
      <c r="DL228" s="5"/>
      <c r="DM228" s="5"/>
      <c r="DN228" s="5"/>
      <c r="DO228" s="5"/>
      <c r="DP228" s="5"/>
      <c r="DQ228" s="5"/>
      <c r="DR228" s="5"/>
      <c r="DS228" s="5"/>
      <c r="DT228" s="5"/>
      <c r="DU228" s="5"/>
      <c r="DV228" s="5"/>
    </row>
    <row r="229" spans="2:126" s="11" customFormat="1" hidden="1">
      <c r="B229" s="38" t="s">
        <v>366</v>
      </c>
      <c r="C229" s="76" t="str">
        <f>IFERROR((#REF!/#REF!*1000000),"")</f>
        <v/>
      </c>
      <c r="D229" s="76">
        <f>SEGUIMIENTO!$B$289</f>
        <v>0</v>
      </c>
      <c r="E229" s="76" t="str">
        <f t="shared" si="14"/>
        <v/>
      </c>
      <c r="F229" s="76" t="str">
        <f t="shared" si="15"/>
        <v/>
      </c>
      <c r="G229" s="77"/>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c r="CX229" s="5"/>
      <c r="CY229" s="5"/>
      <c r="CZ229" s="5"/>
      <c r="DA229" s="5"/>
      <c r="DB229" s="5"/>
      <c r="DC229" s="5"/>
      <c r="DD229" s="5"/>
      <c r="DE229" s="5"/>
      <c r="DF229" s="5"/>
      <c r="DG229" s="5"/>
      <c r="DH229" s="5"/>
      <c r="DI229" s="5"/>
      <c r="DJ229" s="5"/>
      <c r="DK229" s="5"/>
      <c r="DL229" s="5"/>
      <c r="DM229" s="5"/>
      <c r="DN229" s="5"/>
      <c r="DO229" s="5"/>
      <c r="DP229" s="5"/>
      <c r="DQ229" s="5"/>
      <c r="DR229" s="5"/>
      <c r="DS229" s="5"/>
      <c r="DT229" s="5"/>
      <c r="DU229" s="5"/>
      <c r="DV229" s="5"/>
    </row>
    <row r="230" spans="2:126" s="11" customFormat="1" hidden="1">
      <c r="B230" s="38" t="s">
        <v>367</v>
      </c>
      <c r="C230" s="76" t="str">
        <f>IFERROR((#REF!/#REF!*1000000),"")</f>
        <v/>
      </c>
      <c r="D230" s="76">
        <f>SEGUIMIENTO!$B$289</f>
        <v>0</v>
      </c>
      <c r="E230" s="76" t="str">
        <f t="shared" si="14"/>
        <v/>
      </c>
      <c r="F230" s="76" t="str">
        <f t="shared" si="15"/>
        <v/>
      </c>
      <c r="G230" s="77"/>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c r="CX230" s="5"/>
      <c r="CY230" s="5"/>
      <c r="CZ230" s="5"/>
      <c r="DA230" s="5"/>
      <c r="DB230" s="5"/>
      <c r="DC230" s="5"/>
      <c r="DD230" s="5"/>
      <c r="DE230" s="5"/>
      <c r="DF230" s="5"/>
      <c r="DG230" s="5"/>
      <c r="DH230" s="5"/>
      <c r="DI230" s="5"/>
      <c r="DJ230" s="5"/>
      <c r="DK230" s="5"/>
      <c r="DL230" s="5"/>
      <c r="DM230" s="5"/>
      <c r="DN230" s="5"/>
      <c r="DO230" s="5"/>
      <c r="DP230" s="5"/>
      <c r="DQ230" s="5"/>
      <c r="DR230" s="5"/>
      <c r="DS230" s="5"/>
      <c r="DT230" s="5"/>
      <c r="DU230" s="5"/>
      <c r="DV230" s="5"/>
    </row>
    <row r="231" spans="2:126" s="11" customFormat="1" hidden="1">
      <c r="B231" s="38" t="s">
        <v>368</v>
      </c>
      <c r="C231" s="76" t="str">
        <f>IFERROR((#REF!/#REF!*1000000),"")</f>
        <v/>
      </c>
      <c r="D231" s="76">
        <f>SEGUIMIENTO!$B$289</f>
        <v>0</v>
      </c>
      <c r="E231" s="76" t="str">
        <f t="shared" si="14"/>
        <v/>
      </c>
      <c r="F231" s="76" t="str">
        <f t="shared" si="15"/>
        <v/>
      </c>
      <c r="G231" s="77"/>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c r="CX231" s="5"/>
      <c r="CY231" s="5"/>
      <c r="CZ231" s="5"/>
      <c r="DA231" s="5"/>
      <c r="DB231" s="5"/>
      <c r="DC231" s="5"/>
      <c r="DD231" s="5"/>
      <c r="DE231" s="5"/>
      <c r="DF231" s="5"/>
      <c r="DG231" s="5"/>
      <c r="DH231" s="5"/>
      <c r="DI231" s="5"/>
      <c r="DJ231" s="5"/>
      <c r="DK231" s="5"/>
      <c r="DL231" s="5"/>
      <c r="DM231" s="5"/>
      <c r="DN231" s="5"/>
      <c r="DO231" s="5"/>
      <c r="DP231" s="5"/>
      <c r="DQ231" s="5"/>
      <c r="DR231" s="5"/>
      <c r="DS231" s="5"/>
      <c r="DT231" s="5"/>
      <c r="DU231" s="5"/>
      <c r="DV231" s="5"/>
    </row>
    <row r="232" spans="2:126" s="11" customFormat="1" ht="15.75" hidden="1" thickBot="1">
      <c r="B232" s="39" t="s">
        <v>369</v>
      </c>
      <c r="C232" s="78" t="str">
        <f>IFERROR((#REF!/#REF!*1000000),"")</f>
        <v/>
      </c>
      <c r="D232" s="78">
        <f>SEGUIMIENTO!$B$289</f>
        <v>0</v>
      </c>
      <c r="E232" s="78" t="str">
        <f t="shared" si="14"/>
        <v/>
      </c>
      <c r="F232" s="78" t="str">
        <f t="shared" si="15"/>
        <v/>
      </c>
      <c r="G232" s="79"/>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c r="CX232" s="5"/>
      <c r="CY232" s="5"/>
      <c r="CZ232" s="5"/>
      <c r="DA232" s="5"/>
      <c r="DB232" s="5"/>
      <c r="DC232" s="5"/>
      <c r="DD232" s="5"/>
      <c r="DE232" s="5"/>
      <c r="DF232" s="5"/>
      <c r="DG232" s="5"/>
      <c r="DH232" s="5"/>
      <c r="DI232" s="5"/>
      <c r="DJ232" s="5"/>
      <c r="DK232" s="5"/>
      <c r="DL232" s="5"/>
      <c r="DM232" s="5"/>
      <c r="DN232" s="5"/>
      <c r="DO232" s="5"/>
      <c r="DP232" s="5"/>
      <c r="DQ232" s="5"/>
      <c r="DR232" s="5"/>
      <c r="DS232" s="5"/>
      <c r="DT232" s="5"/>
      <c r="DU232" s="5"/>
      <c r="DV232" s="5"/>
    </row>
    <row r="233" spans="2:126">
      <c r="B233" s="40">
        <v>1</v>
      </c>
      <c r="C233" s="60"/>
      <c r="D233" s="60"/>
      <c r="E233" s="60">
        <f t="shared" si="14"/>
        <v>0</v>
      </c>
      <c r="F233" s="60" t="str">
        <f t="shared" si="15"/>
        <v/>
      </c>
      <c r="G233" s="61"/>
    </row>
    <row r="234" spans="2:126">
      <c r="B234" s="41">
        <v>2</v>
      </c>
      <c r="C234" s="19"/>
      <c r="D234" s="19"/>
      <c r="E234" s="19">
        <f t="shared" si="14"/>
        <v>0</v>
      </c>
      <c r="F234" s="19" t="str">
        <f t="shared" si="15"/>
        <v/>
      </c>
      <c r="G234" s="56"/>
    </row>
    <row r="235" spans="2:126">
      <c r="B235" s="41">
        <v>3</v>
      </c>
      <c r="C235" s="19"/>
      <c r="D235" s="19"/>
      <c r="E235" s="19">
        <f t="shared" si="14"/>
        <v>0</v>
      </c>
      <c r="F235" s="19" t="str">
        <f t="shared" si="15"/>
        <v/>
      </c>
      <c r="G235" s="56"/>
    </row>
    <row r="236" spans="2:126">
      <c r="B236" s="41">
        <v>4</v>
      </c>
      <c r="C236" s="19"/>
      <c r="D236" s="19"/>
      <c r="E236" s="19">
        <f t="shared" si="14"/>
        <v>0</v>
      </c>
      <c r="F236" s="19" t="str">
        <f t="shared" si="15"/>
        <v/>
      </c>
      <c r="G236" s="56"/>
    </row>
    <row r="237" spans="2:126">
      <c r="B237" s="41">
        <v>5</v>
      </c>
      <c r="C237" s="19"/>
      <c r="D237" s="19"/>
      <c r="E237" s="19">
        <f t="shared" si="14"/>
        <v>0</v>
      </c>
      <c r="F237" s="19" t="str">
        <f t="shared" si="15"/>
        <v/>
      </c>
      <c r="G237" s="56"/>
    </row>
    <row r="238" spans="2:126">
      <c r="B238" s="41">
        <v>6</v>
      </c>
      <c r="C238" s="19"/>
      <c r="D238" s="19"/>
      <c r="E238" s="19">
        <f t="shared" si="14"/>
        <v>0</v>
      </c>
      <c r="F238" s="19" t="str">
        <f t="shared" si="15"/>
        <v/>
      </c>
      <c r="G238" s="56"/>
    </row>
    <row r="239" spans="2:126">
      <c r="B239" s="41">
        <v>7</v>
      </c>
      <c r="C239" s="19"/>
      <c r="D239" s="19"/>
      <c r="E239" s="19">
        <f t="shared" si="14"/>
        <v>0</v>
      </c>
      <c r="F239" s="19" t="str">
        <f t="shared" si="15"/>
        <v/>
      </c>
      <c r="G239" s="56"/>
    </row>
    <row r="240" spans="2:126">
      <c r="B240" s="41">
        <v>8</v>
      </c>
      <c r="C240" s="19"/>
      <c r="D240" s="19"/>
      <c r="E240" s="19">
        <f t="shared" si="14"/>
        <v>0</v>
      </c>
      <c r="F240" s="19" t="str">
        <f t="shared" si="15"/>
        <v/>
      </c>
      <c r="G240" s="56"/>
    </row>
    <row r="241" spans="2:7">
      <c r="B241" s="41">
        <v>9</v>
      </c>
      <c r="C241" s="19"/>
      <c r="D241" s="19"/>
      <c r="E241" s="19">
        <f t="shared" si="14"/>
        <v>0</v>
      </c>
      <c r="F241" s="19" t="str">
        <f t="shared" si="15"/>
        <v/>
      </c>
      <c r="G241" s="56"/>
    </row>
    <row r="242" spans="2:7">
      <c r="B242" s="41">
        <v>10</v>
      </c>
      <c r="C242" s="19"/>
      <c r="D242" s="19"/>
      <c r="E242" s="19">
        <f t="shared" si="14"/>
        <v>0</v>
      </c>
      <c r="F242" s="19" t="str">
        <f t="shared" si="15"/>
        <v/>
      </c>
      <c r="G242" s="56"/>
    </row>
    <row r="243" spans="2:7">
      <c r="B243" s="41">
        <v>11</v>
      </c>
      <c r="C243" s="19"/>
      <c r="D243" s="19"/>
      <c r="E243" s="19">
        <f t="shared" si="14"/>
        <v>0</v>
      </c>
      <c r="F243" s="19" t="str">
        <f t="shared" si="15"/>
        <v/>
      </c>
      <c r="G243" s="56"/>
    </row>
    <row r="244" spans="2:7">
      <c r="B244" s="41">
        <v>12</v>
      </c>
      <c r="C244" s="19"/>
      <c r="D244" s="19"/>
      <c r="E244" s="19">
        <f t="shared" si="14"/>
        <v>0</v>
      </c>
      <c r="F244" s="19" t="str">
        <f t="shared" si="15"/>
        <v/>
      </c>
      <c r="G244" s="56"/>
    </row>
    <row r="245" spans="2:7">
      <c r="B245" s="41">
        <v>13</v>
      </c>
      <c r="C245" s="19"/>
      <c r="D245" s="19"/>
      <c r="E245" s="19">
        <f t="shared" ref="E245:E263" si="16">IFERROR(IF(C245&gt;=D245,C245,""),"")</f>
        <v>0</v>
      </c>
      <c r="F245" s="19" t="str">
        <f t="shared" ref="F245:F263" si="17">IFERROR(IF(C245&lt;D245,C245,""),"")</f>
        <v/>
      </c>
      <c r="G245" s="56"/>
    </row>
    <row r="246" spans="2:7">
      <c r="B246" s="41">
        <v>14</v>
      </c>
      <c r="C246" s="19"/>
      <c r="D246" s="19"/>
      <c r="E246" s="19">
        <f t="shared" si="16"/>
        <v>0</v>
      </c>
      <c r="F246" s="19" t="str">
        <f t="shared" si="17"/>
        <v/>
      </c>
      <c r="G246" s="56"/>
    </row>
    <row r="247" spans="2:7">
      <c r="B247" s="41">
        <v>15</v>
      </c>
      <c r="C247" s="19"/>
      <c r="D247" s="19"/>
      <c r="E247" s="19">
        <f t="shared" si="16"/>
        <v>0</v>
      </c>
      <c r="F247" s="19" t="str">
        <f t="shared" si="17"/>
        <v/>
      </c>
      <c r="G247" s="56"/>
    </row>
    <row r="248" spans="2:7">
      <c r="B248" s="41">
        <v>16</v>
      </c>
      <c r="C248" s="19"/>
      <c r="D248" s="19"/>
      <c r="E248" s="19">
        <f t="shared" si="16"/>
        <v>0</v>
      </c>
      <c r="F248" s="19" t="str">
        <f t="shared" si="17"/>
        <v/>
      </c>
      <c r="G248" s="56"/>
    </row>
    <row r="249" spans="2:7">
      <c r="B249" s="41">
        <v>17</v>
      </c>
      <c r="C249" s="19"/>
      <c r="D249" s="19"/>
      <c r="E249" s="19">
        <f t="shared" si="16"/>
        <v>0</v>
      </c>
      <c r="F249" s="19" t="str">
        <f t="shared" si="17"/>
        <v/>
      </c>
      <c r="G249" s="56"/>
    </row>
    <row r="250" spans="2:7">
      <c r="B250" s="41">
        <v>18</v>
      </c>
      <c r="C250" s="19"/>
      <c r="D250" s="19"/>
      <c r="E250" s="19">
        <f t="shared" si="16"/>
        <v>0</v>
      </c>
      <c r="F250" s="19" t="str">
        <f t="shared" si="17"/>
        <v/>
      </c>
      <c r="G250" s="56"/>
    </row>
    <row r="251" spans="2:7">
      <c r="B251" s="41">
        <v>19</v>
      </c>
      <c r="C251" s="19"/>
      <c r="D251" s="19"/>
      <c r="E251" s="19">
        <f t="shared" si="16"/>
        <v>0</v>
      </c>
      <c r="F251" s="19" t="str">
        <f t="shared" si="17"/>
        <v/>
      </c>
      <c r="G251" s="56"/>
    </row>
    <row r="252" spans="2:7">
      <c r="B252" s="41">
        <v>20</v>
      </c>
      <c r="C252" s="19"/>
      <c r="D252" s="19"/>
      <c r="E252" s="19">
        <f t="shared" si="16"/>
        <v>0</v>
      </c>
      <c r="F252" s="19" t="str">
        <f t="shared" si="17"/>
        <v/>
      </c>
      <c r="G252" s="56"/>
    </row>
    <row r="253" spans="2:7">
      <c r="B253" s="41">
        <v>21</v>
      </c>
      <c r="C253" s="19"/>
      <c r="D253" s="19"/>
      <c r="E253" s="19">
        <f t="shared" si="16"/>
        <v>0</v>
      </c>
      <c r="F253" s="19" t="str">
        <f t="shared" si="17"/>
        <v/>
      </c>
      <c r="G253" s="56"/>
    </row>
    <row r="254" spans="2:7">
      <c r="B254" s="41">
        <v>22</v>
      </c>
      <c r="C254" s="19"/>
      <c r="D254" s="19"/>
      <c r="E254" s="19">
        <f t="shared" si="16"/>
        <v>0</v>
      </c>
      <c r="F254" s="19" t="str">
        <f t="shared" si="17"/>
        <v/>
      </c>
      <c r="G254" s="56"/>
    </row>
    <row r="255" spans="2:7">
      <c r="B255" s="41">
        <v>23</v>
      </c>
      <c r="C255" s="19"/>
      <c r="D255" s="19"/>
      <c r="E255" s="19">
        <f t="shared" si="16"/>
        <v>0</v>
      </c>
      <c r="F255" s="19" t="str">
        <f t="shared" si="17"/>
        <v/>
      </c>
      <c r="G255" s="56"/>
    </row>
    <row r="256" spans="2:7">
      <c r="B256" s="41">
        <v>24</v>
      </c>
      <c r="C256" s="19"/>
      <c r="D256" s="19"/>
      <c r="E256" s="19">
        <f t="shared" si="16"/>
        <v>0</v>
      </c>
      <c r="F256" s="19" t="str">
        <f t="shared" si="17"/>
        <v/>
      </c>
      <c r="G256" s="56"/>
    </row>
    <row r="257" spans="2:10">
      <c r="B257" s="41">
        <v>25</v>
      </c>
      <c r="C257" s="19"/>
      <c r="D257" s="19"/>
      <c r="E257" s="19">
        <f t="shared" si="16"/>
        <v>0</v>
      </c>
      <c r="F257" s="19" t="str">
        <f t="shared" si="17"/>
        <v/>
      </c>
      <c r="G257" s="56"/>
    </row>
    <row r="258" spans="2:10">
      <c r="B258" s="41">
        <v>26</v>
      </c>
      <c r="C258" s="19"/>
      <c r="D258" s="19"/>
      <c r="E258" s="19">
        <f t="shared" si="16"/>
        <v>0</v>
      </c>
      <c r="F258" s="19" t="str">
        <f t="shared" si="17"/>
        <v/>
      </c>
      <c r="G258" s="56"/>
    </row>
    <row r="259" spans="2:10">
      <c r="B259" s="41">
        <v>27</v>
      </c>
      <c r="C259" s="19"/>
      <c r="D259" s="19"/>
      <c r="E259" s="19">
        <f t="shared" si="16"/>
        <v>0</v>
      </c>
      <c r="F259" s="19" t="str">
        <f t="shared" si="17"/>
        <v/>
      </c>
      <c r="G259" s="56"/>
    </row>
    <row r="260" spans="2:10">
      <c r="B260" s="41">
        <v>28</v>
      </c>
      <c r="C260" s="19"/>
      <c r="D260" s="19"/>
      <c r="E260" s="19">
        <f t="shared" si="16"/>
        <v>0</v>
      </c>
      <c r="F260" s="19" t="str">
        <f t="shared" si="17"/>
        <v/>
      </c>
      <c r="G260" s="56"/>
    </row>
    <row r="261" spans="2:10">
      <c r="B261" s="41">
        <v>29</v>
      </c>
      <c r="C261" s="19"/>
      <c r="D261" s="19"/>
      <c r="E261" s="19">
        <f t="shared" si="16"/>
        <v>0</v>
      </c>
      <c r="F261" s="19" t="str">
        <f t="shared" si="17"/>
        <v/>
      </c>
      <c r="G261" s="56"/>
    </row>
    <row r="262" spans="2:10">
      <c r="B262" s="41">
        <v>30</v>
      </c>
      <c r="C262" s="19"/>
      <c r="D262" s="19"/>
      <c r="E262" s="19">
        <f t="shared" si="16"/>
        <v>0</v>
      </c>
      <c r="F262" s="19" t="str">
        <f t="shared" si="17"/>
        <v/>
      </c>
      <c r="G262" s="56"/>
    </row>
    <row r="263" spans="2:10" ht="15.75" thickBot="1">
      <c r="B263" s="42">
        <v>31</v>
      </c>
      <c r="C263" s="58"/>
      <c r="D263" s="58"/>
      <c r="E263" s="58">
        <f t="shared" si="16"/>
        <v>0</v>
      </c>
      <c r="F263" s="58" t="str">
        <f t="shared" si="17"/>
        <v/>
      </c>
      <c r="G263" s="59"/>
    </row>
    <row r="264" spans="2:10" ht="15.75" thickBot="1"/>
    <row r="265" spans="2:10" ht="21" thickBot="1">
      <c r="B265" s="234" t="s">
        <v>370</v>
      </c>
      <c r="C265" s="235"/>
      <c r="D265" s="235"/>
      <c r="E265" s="235"/>
      <c r="F265" s="235"/>
      <c r="G265" s="235"/>
      <c r="H265" s="235"/>
      <c r="I265" s="236"/>
    </row>
    <row r="266" spans="2:10" ht="16.5" thickBot="1">
      <c r="B266" s="237" t="s">
        <v>371</v>
      </c>
      <c r="C266" s="238"/>
      <c r="D266" s="238"/>
      <c r="E266" s="238"/>
      <c r="F266" s="237" t="s">
        <v>372</v>
      </c>
      <c r="G266" s="238"/>
      <c r="H266" s="238"/>
      <c r="I266" s="239"/>
    </row>
    <row r="267" spans="2:10">
      <c r="B267" s="212">
        <f t="shared" ref="B267:B279" si="18">+C144</f>
        <v>2</v>
      </c>
      <c r="C267" s="213"/>
      <c r="D267" s="213"/>
      <c r="E267" s="214"/>
      <c r="F267" s="215">
        <v>2</v>
      </c>
      <c r="G267" s="215"/>
      <c r="H267" s="215"/>
      <c r="I267" s="216"/>
      <c r="J267" s="43"/>
    </row>
    <row r="268" spans="2:10">
      <c r="B268" s="217">
        <f t="shared" si="18"/>
        <v>4</v>
      </c>
      <c r="C268" s="218"/>
      <c r="D268" s="218"/>
      <c r="E268" s="219"/>
      <c r="F268" s="218"/>
      <c r="G268" s="218"/>
      <c r="H268" s="218"/>
      <c r="I268" s="219"/>
    </row>
    <row r="269" spans="2:10">
      <c r="B269" s="217">
        <f t="shared" si="18"/>
        <v>3</v>
      </c>
      <c r="C269" s="218"/>
      <c r="D269" s="218"/>
      <c r="E269" s="219"/>
      <c r="F269" s="218"/>
      <c r="G269" s="218"/>
      <c r="H269" s="218"/>
      <c r="I269" s="219"/>
    </row>
    <row r="270" spans="2:10">
      <c r="B270" s="209">
        <f t="shared" si="18"/>
        <v>4</v>
      </c>
      <c r="C270" s="210"/>
      <c r="D270" s="210"/>
      <c r="E270" s="211"/>
      <c r="F270" s="210"/>
      <c r="G270" s="210"/>
      <c r="H270" s="210"/>
      <c r="I270" s="211"/>
    </row>
    <row r="271" spans="2:10">
      <c r="B271" s="209">
        <f t="shared" si="18"/>
        <v>2</v>
      </c>
      <c r="C271" s="210"/>
      <c r="D271" s="210"/>
      <c r="E271" s="211"/>
      <c r="F271" s="210"/>
      <c r="G271" s="210"/>
      <c r="H271" s="210"/>
      <c r="I271" s="211"/>
    </row>
    <row r="272" spans="2:10">
      <c r="B272" s="209">
        <f t="shared" si="18"/>
        <v>6</v>
      </c>
      <c r="C272" s="210"/>
      <c r="D272" s="210"/>
      <c r="E272" s="211"/>
      <c r="F272" s="210"/>
      <c r="G272" s="210"/>
      <c r="H272" s="210"/>
      <c r="I272" s="211"/>
    </row>
    <row r="273" spans="2:12">
      <c r="B273" s="209">
        <f t="shared" si="18"/>
        <v>7</v>
      </c>
      <c r="C273" s="210"/>
      <c r="D273" s="210"/>
      <c r="E273" s="211"/>
      <c r="F273" s="210"/>
      <c r="G273" s="210"/>
      <c r="H273" s="210"/>
      <c r="I273" s="211"/>
    </row>
    <row r="274" spans="2:12">
      <c r="B274" s="209">
        <f t="shared" si="18"/>
        <v>3</v>
      </c>
      <c r="C274" s="210"/>
      <c r="D274" s="210"/>
      <c r="E274" s="211"/>
      <c r="F274" s="210"/>
      <c r="G274" s="210"/>
      <c r="H274" s="210"/>
      <c r="I274" s="211"/>
    </row>
    <row r="275" spans="2:12">
      <c r="B275" s="209">
        <f t="shared" si="18"/>
        <v>2</v>
      </c>
      <c r="C275" s="210"/>
      <c r="D275" s="210"/>
      <c r="E275" s="211"/>
      <c r="F275" s="210"/>
      <c r="G275" s="210"/>
      <c r="H275" s="210"/>
      <c r="I275" s="211"/>
    </row>
    <row r="276" spans="2:12">
      <c r="B276" s="209">
        <f t="shared" si="18"/>
        <v>4</v>
      </c>
      <c r="C276" s="210"/>
      <c r="D276" s="210"/>
      <c r="E276" s="211"/>
      <c r="F276" s="210"/>
      <c r="G276" s="210"/>
      <c r="H276" s="210"/>
      <c r="I276" s="211"/>
    </row>
    <row r="277" spans="2:12">
      <c r="B277" s="209">
        <f t="shared" si="18"/>
        <v>0</v>
      </c>
      <c r="C277" s="210"/>
      <c r="D277" s="210"/>
      <c r="E277" s="211"/>
      <c r="F277" s="210"/>
      <c r="G277" s="210"/>
      <c r="H277" s="210"/>
      <c r="I277" s="211"/>
    </row>
    <row r="278" spans="2:12">
      <c r="B278" s="209">
        <f t="shared" si="18"/>
        <v>0</v>
      </c>
      <c r="C278" s="210"/>
      <c r="D278" s="210"/>
      <c r="E278" s="211"/>
      <c r="F278" s="210"/>
      <c r="G278" s="210"/>
      <c r="H278" s="210"/>
      <c r="I278" s="211"/>
    </row>
    <row r="279" spans="2:12">
      <c r="B279" s="209" t="str">
        <f t="shared" si="18"/>
        <v/>
      </c>
      <c r="C279" s="210"/>
      <c r="D279" s="210"/>
      <c r="E279" s="211"/>
      <c r="F279" s="210"/>
      <c r="G279" s="210"/>
      <c r="H279" s="210"/>
      <c r="I279" s="211"/>
    </row>
    <row r="281" spans="2:12">
      <c r="B281" s="222" t="s">
        <v>373</v>
      </c>
      <c r="C281" s="222"/>
      <c r="D281" s="222"/>
      <c r="E281" s="222"/>
      <c r="F281" s="222"/>
      <c r="G281" s="222"/>
      <c r="H281" s="222"/>
      <c r="I281" s="222"/>
      <c r="J281" s="222"/>
      <c r="K281" s="222"/>
      <c r="L281" s="222"/>
    </row>
    <row r="282" spans="2:12" ht="17.25" customHeight="1">
      <c r="B282" s="44">
        <v>2018</v>
      </c>
      <c r="C282" s="44">
        <v>2019</v>
      </c>
      <c r="D282" s="44">
        <v>2020</v>
      </c>
      <c r="E282" s="44">
        <v>2021</v>
      </c>
      <c r="F282" s="44">
        <v>2022</v>
      </c>
      <c r="G282" s="44">
        <v>2023</v>
      </c>
      <c r="H282" s="44">
        <v>2024</v>
      </c>
      <c r="I282" s="44">
        <v>2025</v>
      </c>
      <c r="J282" s="44">
        <v>2026</v>
      </c>
      <c r="K282" s="44">
        <v>2027</v>
      </c>
      <c r="L282" s="91">
        <v>2028</v>
      </c>
    </row>
    <row r="283" spans="2:12">
      <c r="B283" s="29"/>
      <c r="C283" s="29"/>
      <c r="D283" s="29"/>
      <c r="E283" s="80"/>
      <c r="F283" s="80"/>
      <c r="G283" s="80"/>
      <c r="H283" s="80"/>
      <c r="I283" s="80"/>
      <c r="J283" s="80">
        <f>12*2</f>
        <v>24</v>
      </c>
      <c r="K283" s="80"/>
      <c r="L283" s="92"/>
    </row>
    <row r="285" spans="2:12">
      <c r="B285" s="222" t="s">
        <v>374</v>
      </c>
      <c r="C285" s="222"/>
      <c r="D285" s="222"/>
      <c r="E285" s="222"/>
      <c r="F285" s="222"/>
      <c r="G285" s="222"/>
      <c r="H285" s="222"/>
      <c r="I285" s="222"/>
      <c r="J285" s="222"/>
      <c r="K285" s="222"/>
      <c r="L285" s="222"/>
    </row>
    <row r="286" spans="2:12">
      <c r="B286" s="44">
        <v>2018</v>
      </c>
      <c r="C286" s="44">
        <v>2019</v>
      </c>
      <c r="D286" s="44">
        <v>2020</v>
      </c>
      <c r="E286" s="44">
        <v>2021</v>
      </c>
      <c r="F286" s="44">
        <v>2022</v>
      </c>
      <c r="G286" s="44">
        <v>2023</v>
      </c>
      <c r="H286" s="44">
        <v>2024</v>
      </c>
      <c r="I286" s="44">
        <v>2025</v>
      </c>
      <c r="J286" s="44">
        <v>2026</v>
      </c>
      <c r="K286" s="44">
        <v>2027</v>
      </c>
      <c r="L286" s="91">
        <v>2028</v>
      </c>
    </row>
    <row r="287" spans="2:12">
      <c r="B287" s="29"/>
      <c r="C287" s="29"/>
      <c r="D287" s="29"/>
      <c r="E287" s="80"/>
      <c r="F287" s="80"/>
      <c r="G287" s="80"/>
      <c r="H287" s="80"/>
      <c r="I287" s="80"/>
      <c r="J287" s="80">
        <v>2</v>
      </c>
      <c r="K287" s="80"/>
      <c r="L287" s="92"/>
    </row>
    <row r="288" spans="2:12">
      <c r="B288" s="222" t="s">
        <v>375</v>
      </c>
      <c r="C288" s="222"/>
      <c r="D288" s="222"/>
      <c r="E288" s="222"/>
      <c r="F288" s="222"/>
      <c r="G288" s="222"/>
      <c r="H288" s="222"/>
      <c r="I288" s="222"/>
      <c r="J288" s="222"/>
      <c r="K288" s="222"/>
      <c r="L288" s="222"/>
    </row>
    <row r="289" spans="2:12">
      <c r="B289" s="220"/>
      <c r="C289" s="220"/>
      <c r="D289" s="220"/>
      <c r="E289" s="220"/>
      <c r="F289" s="220"/>
      <c r="G289" s="220"/>
      <c r="H289" s="220"/>
      <c r="I289" s="220"/>
      <c r="J289" s="220"/>
      <c r="K289" s="220"/>
      <c r="L289" s="221"/>
    </row>
    <row r="290" spans="2:12">
      <c r="B290" s="220"/>
      <c r="C290" s="220"/>
      <c r="D290" s="220"/>
      <c r="E290" s="220"/>
      <c r="F290" s="220"/>
      <c r="G290" s="220"/>
      <c r="H290" s="220"/>
      <c r="I290" s="220"/>
      <c r="J290" s="220"/>
      <c r="K290" s="220"/>
      <c r="L290" s="221"/>
    </row>
    <row r="291" spans="2:12">
      <c r="B291" s="222" t="s">
        <v>376</v>
      </c>
      <c r="C291" s="222"/>
      <c r="D291" s="222"/>
      <c r="E291" s="222"/>
      <c r="F291" s="222"/>
      <c r="G291" s="222"/>
      <c r="H291" s="222"/>
      <c r="I291" s="222"/>
      <c r="J291" s="222"/>
      <c r="K291" s="222"/>
      <c r="L291" s="222"/>
    </row>
    <row r="292" spans="2:12">
      <c r="B292" s="220"/>
      <c r="C292" s="220"/>
      <c r="D292" s="220"/>
      <c r="E292" s="220"/>
      <c r="F292" s="220"/>
      <c r="G292" s="220"/>
      <c r="H292" s="220"/>
      <c r="I292" s="220"/>
      <c r="J292" s="220"/>
      <c r="K292" s="220"/>
      <c r="L292" s="221"/>
    </row>
    <row r="293" spans="2:12" ht="15" customHeight="1">
      <c r="B293" s="220"/>
      <c r="C293" s="220"/>
      <c r="D293" s="220"/>
      <c r="E293" s="220"/>
      <c r="F293" s="220"/>
      <c r="G293" s="220"/>
      <c r="H293" s="220"/>
      <c r="I293" s="220"/>
      <c r="J293" s="220"/>
      <c r="K293" s="220"/>
      <c r="L293" s="221"/>
    </row>
    <row r="294" spans="2:12" ht="15" customHeight="1"/>
  </sheetData>
  <autoFilter ref="B47:G263" xr:uid="{00000000-0009-0000-0000-000004000000}">
    <filterColumn colId="0">
      <filters blank="1">
        <filter val="1"/>
        <filter val="10"/>
        <filter val="11"/>
        <filter val="12"/>
        <filter val="13"/>
        <filter val="14"/>
        <filter val="15"/>
        <filter val="16"/>
        <filter val="17"/>
        <filter val="18"/>
        <filter val="19"/>
        <filter val="2"/>
        <filter val="20"/>
        <filter val="2023"/>
        <filter val="2024"/>
        <filter val="2025"/>
        <filter val="21"/>
        <filter val="22"/>
        <filter val="23"/>
        <filter val="24"/>
        <filter val="25"/>
        <filter val="26"/>
        <filter val="27"/>
        <filter val="28"/>
        <filter val="29"/>
        <filter val="3"/>
        <filter val="30"/>
        <filter val="31"/>
        <filter val="4"/>
        <filter val="5"/>
        <filter val="6"/>
        <filter val="7"/>
        <filter val="8"/>
        <filter val="9"/>
        <dateGroupItem year="2026" dateTimeGrouping="year"/>
      </filters>
    </filterColumn>
  </autoFilter>
  <mergeCells count="46">
    <mergeCell ref="B279:E279"/>
    <mergeCell ref="F279:I279"/>
    <mergeCell ref="B275:E275"/>
    <mergeCell ref="F275:I275"/>
    <mergeCell ref="B276:E276"/>
    <mergeCell ref="F276:I276"/>
    <mergeCell ref="B277:E277"/>
    <mergeCell ref="F277:I277"/>
    <mergeCell ref="B265:I265"/>
    <mergeCell ref="B266:E266"/>
    <mergeCell ref="F266:I266"/>
    <mergeCell ref="M37:N37"/>
    <mergeCell ref="M38:N38"/>
    <mergeCell ref="M40:N40"/>
    <mergeCell ref="M39:N39"/>
    <mergeCell ref="B46:G46"/>
    <mergeCell ref="N36:S36"/>
    <mergeCell ref="B1:C3"/>
    <mergeCell ref="D1:I3"/>
    <mergeCell ref="B35:C35"/>
    <mergeCell ref="D35:H35"/>
    <mergeCell ref="J35:K35"/>
    <mergeCell ref="B292:L293"/>
    <mergeCell ref="B271:E271"/>
    <mergeCell ref="F271:I271"/>
    <mergeCell ref="B281:L281"/>
    <mergeCell ref="B285:L285"/>
    <mergeCell ref="B288:L288"/>
    <mergeCell ref="B289:L290"/>
    <mergeCell ref="B291:L291"/>
    <mergeCell ref="B272:E272"/>
    <mergeCell ref="F272:I272"/>
    <mergeCell ref="B273:E273"/>
    <mergeCell ref="F273:I273"/>
    <mergeCell ref="B274:E274"/>
    <mergeCell ref="F274:I274"/>
    <mergeCell ref="B278:E278"/>
    <mergeCell ref="F278:I278"/>
    <mergeCell ref="B270:E270"/>
    <mergeCell ref="F270:I270"/>
    <mergeCell ref="B267:E267"/>
    <mergeCell ref="F267:I267"/>
    <mergeCell ref="B268:E268"/>
    <mergeCell ref="F268:I268"/>
    <mergeCell ref="B269:E269"/>
    <mergeCell ref="F269:I269"/>
  </mergeCells>
  <dataValidations count="2">
    <dataValidation type="list" allowBlank="1" showInputMessage="1" showErrorMessage="1" sqref="M39:N40" xr:uid="{841546A4-8AB3-42C4-9AF1-6262BEA663D5}">
      <formula1>"1,2,3,4,5,6,7,8,9,10,11,12"</formula1>
    </dataValidation>
    <dataValidation type="list" allowBlank="1" showInputMessage="1" showErrorMessage="1" sqref="M38:N38" xr:uid="{507C2449-C369-4570-860D-6B304FE9ED64}">
      <formula1>"ene,feb,mar,abr,may,jun,jul,ago,sep,oct,nov,dic"</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DC9606-5611-4706-9096-87A9BE73DBD2}">
  <sheetPr codeName="Hoja4"/>
  <dimension ref="A1:A40"/>
  <sheetViews>
    <sheetView workbookViewId="0">
      <selection activeCell="Q7" sqref="Q7"/>
    </sheetView>
  </sheetViews>
  <sheetFormatPr baseColWidth="10" defaultColWidth="11" defaultRowHeight="14.25"/>
  <sheetData>
    <row r="1" spans="1:1">
      <c r="A1" t="s">
        <v>176</v>
      </c>
    </row>
    <row r="2" spans="1:1">
      <c r="A2" t="s">
        <v>377</v>
      </c>
    </row>
    <row r="3" spans="1:1">
      <c r="A3" t="s">
        <v>149</v>
      </c>
    </row>
    <row r="4" spans="1:1">
      <c r="A4" t="s">
        <v>378</v>
      </c>
    </row>
    <row r="5" spans="1:1">
      <c r="A5" t="s">
        <v>379</v>
      </c>
    </row>
    <row r="6" spans="1:1">
      <c r="A6" t="s">
        <v>153</v>
      </c>
    </row>
    <row r="7" spans="1:1">
      <c r="A7" t="s">
        <v>24</v>
      </c>
    </row>
    <row r="8" spans="1:1">
      <c r="A8" t="s">
        <v>24</v>
      </c>
    </row>
    <row r="9" spans="1:1">
      <c r="A9" t="s">
        <v>24</v>
      </c>
    </row>
    <row r="10" spans="1:1">
      <c r="A10" t="s">
        <v>24</v>
      </c>
    </row>
    <row r="11" spans="1:1">
      <c r="A11" t="s">
        <v>24</v>
      </c>
    </row>
    <row r="12" spans="1:1">
      <c r="A12" t="s">
        <v>24</v>
      </c>
    </row>
    <row r="13" spans="1:1">
      <c r="A13" t="s">
        <v>24</v>
      </c>
    </row>
    <row r="14" spans="1:1">
      <c r="A14" t="s">
        <v>24</v>
      </c>
    </row>
    <row r="15" spans="1:1">
      <c r="A15" t="s">
        <v>24</v>
      </c>
    </row>
    <row r="16" spans="1:1">
      <c r="A16" t="s">
        <v>24</v>
      </c>
    </row>
    <row r="17" spans="1:1">
      <c r="A17" t="s">
        <v>24</v>
      </c>
    </row>
    <row r="18" spans="1:1">
      <c r="A18" t="s">
        <v>24</v>
      </c>
    </row>
    <row r="19" spans="1:1">
      <c r="A19" t="s">
        <v>24</v>
      </c>
    </row>
    <row r="20" spans="1:1">
      <c r="A20" t="s">
        <v>24</v>
      </c>
    </row>
    <row r="21" spans="1:1">
      <c r="A21" t="s">
        <v>24</v>
      </c>
    </row>
    <row r="22" spans="1:1">
      <c r="A22" t="s">
        <v>24</v>
      </c>
    </row>
    <row r="23" spans="1:1">
      <c r="A23" t="s">
        <v>24</v>
      </c>
    </row>
    <row r="24" spans="1:1">
      <c r="A24" t="s">
        <v>24</v>
      </c>
    </row>
    <row r="25" spans="1:1">
      <c r="A25" t="s">
        <v>24</v>
      </c>
    </row>
    <row r="26" spans="1:1">
      <c r="A26" t="s">
        <v>24</v>
      </c>
    </row>
    <row r="27" spans="1:1">
      <c r="A27" t="s">
        <v>24</v>
      </c>
    </row>
    <row r="28" spans="1:1">
      <c r="A28" t="s">
        <v>24</v>
      </c>
    </row>
    <row r="29" spans="1:1">
      <c r="A29" t="s">
        <v>24</v>
      </c>
    </row>
    <row r="30" spans="1:1">
      <c r="A30" t="s">
        <v>24</v>
      </c>
    </row>
    <row r="31" spans="1:1">
      <c r="A31" t="s">
        <v>24</v>
      </c>
    </row>
    <row r="32" spans="1:1">
      <c r="A32" t="s">
        <v>24</v>
      </c>
    </row>
    <row r="33" spans="1:1">
      <c r="A33" t="s">
        <v>24</v>
      </c>
    </row>
    <row r="34" spans="1:1">
      <c r="A34" t="s">
        <v>24</v>
      </c>
    </row>
    <row r="35" spans="1:1">
      <c r="A35" t="s">
        <v>24</v>
      </c>
    </row>
    <row r="36" spans="1:1">
      <c r="A36" t="s">
        <v>24</v>
      </c>
    </row>
    <row r="37" spans="1:1">
      <c r="A37" t="s">
        <v>24</v>
      </c>
    </row>
    <row r="38" spans="1:1">
      <c r="A38" t="s">
        <v>24</v>
      </c>
    </row>
    <row r="39" spans="1:1">
      <c r="A39" t="s">
        <v>24</v>
      </c>
    </row>
    <row r="40" spans="1:1">
      <c r="A40" t="s">
        <v>24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12459-0070-4B1C-A584-1F67C50823A1}">
  <dimension ref="A1:B7"/>
  <sheetViews>
    <sheetView workbookViewId="0"/>
  </sheetViews>
  <sheetFormatPr baseColWidth="10" defaultRowHeight="14.25"/>
  <sheetData>
    <row r="1" spans="1:2">
      <c r="A1" t="s">
        <v>380</v>
      </c>
      <c r="B1" t="s">
        <v>44</v>
      </c>
    </row>
    <row r="2" spans="1:2">
      <c r="A2" t="s">
        <v>383</v>
      </c>
      <c r="B2" s="197">
        <f>PIVOT!B17</f>
        <v>12</v>
      </c>
    </row>
    <row r="3" spans="1:2">
      <c r="A3" t="s">
        <v>384</v>
      </c>
      <c r="B3" s="197">
        <f>PIVOT!B18</f>
        <v>15</v>
      </c>
    </row>
    <row r="4" spans="1:2">
      <c r="A4" t="s">
        <v>98</v>
      </c>
      <c r="B4" s="197">
        <f>PIVOT!B19</f>
        <v>3</v>
      </c>
    </row>
    <row r="5" spans="1:2">
      <c r="A5" t="s">
        <v>385</v>
      </c>
      <c r="B5" s="197">
        <f>PIVOT!B20</f>
        <v>2</v>
      </c>
    </row>
    <row r="6" spans="1:2">
      <c r="A6" t="s">
        <v>130</v>
      </c>
      <c r="B6" s="197">
        <f>PIVOT!B21</f>
        <v>11</v>
      </c>
    </row>
    <row r="7" spans="1:2">
      <c r="A7" t="s">
        <v>386</v>
      </c>
      <c r="B7" s="197">
        <f>PIVOT!B22</f>
        <v>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f8bf79a5-0f3b-4798-8014-8302c226431a">
      <Terms xmlns="http://schemas.microsoft.com/office/infopath/2007/PartnerControls"/>
    </lcf76f155ced4ddcb4097134ff3c332f>
    <TaxCatchAll xmlns="42528566-21f1-405f-a17b-67800b78a292"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B8A853F3BBBE14C9ED164DAFFF28DE4" ma:contentTypeVersion="12" ma:contentTypeDescription="Create a new document." ma:contentTypeScope="" ma:versionID="1a05e0f6c7b1b9689c487b063b0429dc">
  <xsd:schema xmlns:xsd="http://www.w3.org/2001/XMLSchema" xmlns:xs="http://www.w3.org/2001/XMLSchema" xmlns:p="http://schemas.microsoft.com/office/2006/metadata/properties" xmlns:ns2="f8bf79a5-0f3b-4798-8014-8302c226431a" xmlns:ns3="42528566-21f1-405f-a17b-67800b78a292" targetNamespace="http://schemas.microsoft.com/office/2006/metadata/properties" ma:root="true" ma:fieldsID="147aeda602b6c8d3c5b5c015c8928414" ns2:_="" ns3:_="">
    <xsd:import namespace="f8bf79a5-0f3b-4798-8014-8302c226431a"/>
    <xsd:import namespace="42528566-21f1-405f-a17b-67800b78a292"/>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lcf76f155ced4ddcb4097134ff3c332f" minOccurs="0"/>
                <xsd:element ref="ns3:TaxCatchAll" minOccurs="0"/>
                <xsd:element ref="ns2:MediaServiceOCR" minOccurs="0"/>
                <xsd:element ref="ns2:MediaServiceBillingMetadata"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8bf79a5-0f3b-4798-8014-8302c226431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d9a349ef-f3d0-40f3-8dc1-7650c88207f8"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BillingMetadata" ma:index="18" nillable="true" ma:displayName="MediaServiceBillingMetadata" ma:hidden="true" ma:internalName="MediaServiceBillingMetadata" ma:readOnly="true">
      <xsd:simpleType>
        <xsd:restriction base="dms:Note"/>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42528566-21f1-405f-a17b-67800b78a292"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1a756543-1e8e-40df-b52c-247cc46e9ee2}" ma:internalName="TaxCatchAll" ma:showField="CatchAllData" ma:web="42528566-21f1-405f-a17b-67800b78a29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62A5C3D-22BC-4E3D-8437-D00B9DFE5F69}">
  <ds:schemaRefs>
    <ds:schemaRef ds:uri="http://schemas.microsoft.com/office/2006/metadata/properties"/>
    <ds:schemaRef ds:uri="http://schemas.microsoft.com/office/infopath/2007/PartnerControls"/>
    <ds:schemaRef ds:uri="f8bf79a5-0f3b-4798-8014-8302c226431a"/>
    <ds:schemaRef ds:uri="42528566-21f1-405f-a17b-67800b78a292"/>
  </ds:schemaRefs>
</ds:datastoreItem>
</file>

<file path=customXml/itemProps2.xml><?xml version="1.0" encoding="utf-8"?>
<ds:datastoreItem xmlns:ds="http://schemas.openxmlformats.org/officeDocument/2006/customXml" ds:itemID="{36FA90F9-EB69-4481-B60D-314337B7C8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8bf79a5-0f3b-4798-8014-8302c226431a"/>
    <ds:schemaRef ds:uri="42528566-21f1-405f-a17b-67800b78a2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F00B004-D284-4AE2-8711-A30ADEEA576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11</vt:i4>
      </vt:variant>
      <vt:variant>
        <vt:lpstr>Rangos con nombre</vt:lpstr>
      </vt:variant>
      <vt:variant>
        <vt:i4>2</vt:i4>
      </vt:variant>
    </vt:vector>
  </HeadingPairs>
  <TitlesOfParts>
    <vt:vector size="13" baseType="lpstr">
      <vt:lpstr>INSTRUCTIVO</vt:lpstr>
      <vt:lpstr>FUENTE</vt:lpstr>
      <vt:lpstr>111</vt:lpstr>
      <vt:lpstr>BASE</vt:lpstr>
      <vt:lpstr>ANEXO</vt:lpstr>
      <vt:lpstr>ZONAS</vt:lpstr>
      <vt:lpstr>CONTROL</vt:lpstr>
      <vt:lpstr>PIVOT</vt:lpstr>
      <vt:lpstr>SEGUIMIENTO</vt:lpstr>
      <vt:lpstr>Hoja1</vt:lpstr>
      <vt:lpstr>Chart Data</vt:lpstr>
      <vt:lpstr>ANEXO!Área_de_impresión</vt:lpstr>
      <vt:lpstr>BASE!Área_de_impresión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Cucco, Nahuel</dc:creator>
  <cp:keywords/>
  <dc:description/>
  <cp:lastModifiedBy>Bolivar, Melany</cp:lastModifiedBy>
  <cp:revision/>
  <dcterms:created xsi:type="dcterms:W3CDTF">2023-08-09T11:16:09Z</dcterms:created>
  <dcterms:modified xsi:type="dcterms:W3CDTF">2026-10-27T14:08:45Z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0x0101000B8A853F3BBBE14C9ED164DAFFF28DE4</vt:lpwstr>
  </property>
  <property fmtid="{D5CDD505-2E9C-101B-9397-08002B2CF9AE}" pid="3" name="MediaServiceImageTags">
    <vt:lpwstr/>
  </property>
  <property fmtid="{D5CDD505-2E9C-101B-9397-08002B2CF9AE}" pid="4" name="MSIP_Label_38da57a1-68dc-4295-9706-9476bd9e0370_Enabled">
    <vt:lpwstr>true</vt:lpwstr>
  </property>
  <property fmtid="{D5CDD505-2E9C-101B-9397-08002B2CF9AE}" pid="5" name="MSIP_Label_38da57a1-68dc-4295-9706-9476bd9e0370_SetDate">
    <vt:lpwstr>2023-08-23T17:42:15Z</vt:lpwstr>
  </property>
  <property fmtid="{D5CDD505-2E9C-101B-9397-08002B2CF9AE}" pid="6" name="MSIP_Label_38da57a1-68dc-4295-9706-9476bd9e0370_Method">
    <vt:lpwstr>Standard</vt:lpwstr>
  </property>
  <property fmtid="{D5CDD505-2E9C-101B-9397-08002B2CF9AE}" pid="7" name="MSIP_Label_38da57a1-68dc-4295-9706-9476bd9e0370_Name">
    <vt:lpwstr>defa4170-0d19-0005-0002-bc88714345d2</vt:lpwstr>
  </property>
  <property fmtid="{D5CDD505-2E9C-101B-9397-08002B2CF9AE}" pid="8" name="MSIP_Label_38da57a1-68dc-4295-9706-9476bd9e0370_SiteId">
    <vt:lpwstr>1673d597-412b-4591-b4fc-b4aebba0cea2</vt:lpwstr>
  </property>
  <property fmtid="{D5CDD505-2E9C-101B-9397-08002B2CF9AE}" pid="9" name="MSIP_Label_38da57a1-68dc-4295-9706-9476bd9e0370_ActionId">
    <vt:lpwstr>b3e0047f-fd6f-455d-8f05-31c15f871c1a</vt:lpwstr>
  </property>
  <property fmtid="{D5CDD505-2E9C-101B-9397-08002B2CF9AE}" pid="10" name="MSIP_Label_38da57a1-68dc-4295-9706-9476bd9e0370_ContentBits">
    <vt:lpwstr>0</vt:lpwstr>
  </property>
</Properties>
</file>